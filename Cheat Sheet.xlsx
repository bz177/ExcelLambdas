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bottz\Desktop\"/>
    </mc:Choice>
  </mc:AlternateContent>
  <xr:revisionPtr revIDLastSave="0" documentId="13_ncr:1_{FAF58ECB-36C7-48C2-A1EA-2D34DFCB8E89}" xr6:coauthVersionLast="47" xr6:coauthVersionMax="47" xr10:uidLastSave="{00000000-0000-0000-0000-000000000000}"/>
  <bookViews>
    <workbookView xWindow="-28155" yWindow="4110" windowWidth="21600" windowHeight="11295" tabRatio="882" xr2:uid="{8FB415C2-6F8A-493A-B3B6-4C805AEC8E6B}"/>
  </bookViews>
  <sheets>
    <sheet name="Lambdas" sheetId="14" r:id="rId1"/>
    <sheet name="Vergessliche Formeln" sheetId="4" r:id="rId2"/>
    <sheet name="Symbole+Spielkarten" sheetId="2" r:id="rId3"/>
    <sheet name="RegEx" sheetId="3" r:id="rId4"/>
    <sheet name="DE-EN" sheetId="12" r:id="rId5"/>
    <sheet name="Experimente" sheetId="8" r:id="rId6"/>
    <sheet name="Inaktive" sheetId="16" r:id="rId7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Lambdas!$A$1:$D$29</definedName>
    <definedName name="_TabellePfeile" comment="Erzeugt eine Tabelle mit Pfeilen und deren Richtung">_xlfn.LAMBDA(_xlfn.VSTACK(_xlfn.HSTACK("Buchstabe", "Pfeil", "Alternativ", "Zeile", "Spalte", "Karte_WerteinRichtung"), _xlfn.HSTACK("U", "↑", "↑", -1, 0, 1), _xlfn.HSTACK("D", "↓", "↓", 1, 0, 2), _xlfn.HSTACK("L", "←", "←", 0, -1, 3), _xlfn.HSTACK("R", "→", "→", 0, 1, 4), _xlfn.HSTACK("UL", "↖", "↑←", -1, -1, 5), _xlfn.HSTACK("UR", "↗", "↑→", -1, 1, 6), _xlfn.HSTACK("DL", "↙", "↓←", 1, -1, 7), _xlfn.HSTACK("DR", "↘", "↓→", 1, 1, 8)))</definedName>
    <definedName name="AnzahlEinzelwert" comment="Zählt wie oft Wert aus Zelle oder Bereich in Textzelle vorkommt / 0 Anzahl Häufigkeit 1 Anzahl Verbleibend">_xlfn.LAMBDA(_xlpm.Text,_xlpm.Suchtext_Matrix,_xlop.Anzahl0_Verbleibend1, _xlfn.LET(_xlpm.AV, _xlfn.IFS(_xlfn.ISOMITTED(_xlpm.Anzahl0_Verbleibend1), 0, _xlpm.Anzahl0_Verbleibend1 = 1, 1, TRUE, 0), _xlpm.Fehler, IF(ISNUMBER(FIND(":", _xlfn.FORMULATEXT(_xlpm.Text))), TRUE, FALSE), _xlpm.LT, LEN(_xlpm.Text), _xlpm.SM, _xlpm.LT - LEN(SUBSTITUTE(_xlpm.Text, _xlpm.Suchtext_Matrix, "")), _xlfn.IFS(_xlpm.Fehler = TRUE, "#Matrix", _xlpm.AV = 0, _xlpm.SM, _xlpm.AV = 1, _xlpm.LT - _xlpm.SM)))</definedName>
    <definedName name="Buchstabenwert" comment="Wandelt einen Buchstaben in Zahlen 1-26 auf, KG 1 gibt K; oder G; vor der Buchstabennummer an">_xlfn.LAMBDA(_xlpm.Zelle,_xlop.KG_ohne0_mit1, _xlfn.LET(_xlpm.ZUNI, _xlfn.UNICODE(_xlpm.Zelle), _xlpm.KG, IF(_xlfn.ISOMITTED(_xlpm.KG_ohne0_mit1), 0, _xlpm.KG_ohne0_mit1), IF(AND(_xlpm.ZUNI &gt;= 65, _xlpm.ZUNI &lt;= 90), IF(_xlpm.KG = 1, "G;" &amp; (_xlpm.ZUNI - 64), (_xlpm.ZUNI - 64) * 1), IF(AND(_xlpm.ZUNI &gt;= 97, _xlpm.ZUNI &lt;= 122), IF(_xlpm.KG = 1, "K;" &amp; (_xlpm.ZUNI - 96), (_xlpm.ZUNI - 96) * 1), 0))))</definedName>
    <definedName name="DVerweis" comment="Doppelter XVERWEIS">_xlfn.LAMBDA(_xlpm.Such1,_xlpm.Such2,_xlpm.Matrix1,_xlpm.Matrix2,_xlpm.WertMatrix, _xlfn.XLOOKUP(_xlpm.Such1, _xlpm.Matrix1, _xlfn.XLOOKUP(_xlpm.Such2, _xlpm.Matrix2, _xlpm.WertMatrix, 0), NA()))</definedName>
    <definedName name="EntfernungHaversine" comment="Berechnet Entfernung anhand von 2 Koordinaten mit Erdkrümmung">_xlfn.LAMBDA(_xlpm.Breite1,_xlpm.Laenge1,_xlpm.Breite2,_xlpm.Laenge2, _xlfn.LET(_xlpm._lat1, RADIANS(_xlpm.Breite1), _xlpm._lat2, RADIANS(_xlpm.Breite2), _xlpm._lon1, RADIANS(_xlpm.Laenge1), _xlpm._lon2, RADIANS(_xlpm.Laenge2), _xlpm.dLat, _xlpm._lat2 - _xlpm._lat1, _xlpm.dLon, _xlpm._lon2 - _xlpm._lon1, _xlpm.a, (SIN(_xlpm.dLat / 2) ^ 2) + (COS(_xlpm._lat1) * COS(_xlpm._lat2) * SIN(_xlpm.dLon / 2) ^ 2), _xlpm.entfernung, 2 * 6371 * ASIN(SQRT(_xlpm.a)), _xlpm.entfernung))</definedName>
    <definedName name="EntfernungPythagoras" comment="Berechnet Entfernung anhand von 2 Koordinaten, Ergebnis in km">_xlfn.LAMBDA(_xlpm.Länge1,_xlpm.Breite1,_xlpm.Länge2,_xlpm.Breite2,     SQRT(         SUMSQ(             (_xlpm.Länge1 - _xlpm.Länge2),             (_xlpm.Breite1 - _xlpm.Breite2)         )     ) )</definedName>
    <definedName name="EntfernungZellen">_xlfn.LAMBDA(_xlpm.Start1,_xlpm.Start2,_xlop.Spalten0_Phyt1_AbsMitDiag2_AbsOhneDiag3, _xlfn.LET(_xlpm.Strecke, IF(_xlfn.ISOMITTED(_xlpm.Spalten0_Phyt1_AbsMitDiag2_AbsOhneDiag3), 0, _xlpm.Spalten0_Phyt1_AbsMitDiag2_AbsOhneDiag3), _xlpm.Pos_1, INDIRECT(_xlpm.Start1), _xlpm.Pos_2, INDIRECT(_xlpm.Start2), _xlpm.Zeile_1, ROW(_xlpm.Pos_1), _xlpm.Spalte_1, COLUMN(_xlpm.Pos_1), _xlpm.Zeile_2, ROW(_xlpm.Pos_2), _xlpm.Spalte_2, COLUMN(_xlpm.Pos_2), _xlpm.EntfZeile, _xlpm.Zeile_2 - _xlpm.Zeile_1, _xlpm.EntfSpalte, _xlpm.Spalte_2 - _xlpm.Spalte_1, _xlfn.IFS(_xlpm.Strecke = 0, _xlfn.TEXTJOIN(";", , _xlpm.EntfZeile, _xlpm.EntfSpalte), _xlpm.Strecke = 1, SQRT(SUMSQ(_xlpm.EntfSpalte, _xlpm.EntfZeile)), _xlpm.Strecke = 2, MAX(ABS(_xlpm.EntfZeile), ABS(_xlpm.EntfSpalte)), _xlpm.Strecke = 3, ABS(_xlpm.EntfZeile) + ABS(_xlpm.EntfSpalte))))</definedName>
    <definedName name="Existiert" comment="Prüft, ob Suchtext einem Feld in Bereich 1zu1 entspricht. 0 Ja/Nein, 1 Anzahl">_xlfn.LAMBDA(_xlpm.Bereich,_xlpm.Suchtext,_xlop.JaNein0_Anzahl1, _xlfn.IFS(OR(_xlfn.ISOMITTED(_xlpm.JaNein0_Anzahl1), _xlpm.JaNein0_Anzahl1 = 0), OR(_xlpm.Suchtext = _xlpm.Bereich), _xlpm.JaNein0_Anzahl1 = 1, SUM(--(_xlpm.Suchtext = _xlpm.Bereich)), TRUE, NA()))</definedName>
    <definedName name="Größte" comment="Gibt den oder die Einträge mit dem größten Wert aus / Alle Werte Standard 0, nur ersten Wert 1">_xlfn.LAMBDA(_xlpm.Werte,_xlpm.Ausgabe,_xlop.Alle0oderErstes1,_xlfn.LET(_xlpm.A1p,IF(_xlfn.ISOMITTED(_xlpm.Alle0oderErstes1),0,_xlpm.Alle0oderErstes1), _xlfn.IFS(_xlpm.A1p=0,_xlfn._xlws.FILTER(_xlpm.Ausgabe,_xlpm.Werte=MAX(_xlpm.Werte)),_xlpm.A1p=1,_xlfn.XLOOKUP(MAX(_xlpm.Werte),_xlpm.Werte,_xlpm.Ausgabe,,0,1))))</definedName>
    <definedName name="Häufung">_xlfn.LAMBDA(_xlpm.Matrix,_xlop.Tabelle0_Min1_Max2,_xlop.ohneFehler0_mitFehler1, _xlfn.LET(_xlpm.TMM, IF(_xlfn.ISOMITTED(_xlpm.Tabelle0_Min1_Max2), 0, IF(AND(_xlpm.Tabelle0_Min1_Max2 &lt;= 2, _xlpm.Tabelle0_Min1_Max2 &gt;= 0), _xlpm.Tabelle0_Min1_Max2, NA())), _xlpm.Leer, _xlfn.IFS(_xlfn.ISOMITTED(_xlpm.ohneFehler0_mitFehler1), 3, _xlpm.ohneFehler0_mitFehler1 = 0, 3, _xlpm.ohneFehler0_mitFehler1 = 1, 1, TRUE, NA()), _xlpm.MX, _xlfn.TOCOL(_xlpm.Matrix, _xlpm.Leer), _xlpm.Eind, _xlfn.UNIQUE(_xlpm.MX), _xlpm.ZW, COUNTIF(_xlpm.Matrix, _xlfn.UNIQUE(_xlpm.MX)), _xlfn.IFS(_xlpm.TMM = 0, _xlfn._xlws.SORT(_xlfn.HSTACK(_xlpm.Eind, _xlpm.ZW, _xlpm.ZW / SUM(_xlpm.ZW)), {2,1}, {-1,1}), _xlpm.TMM = 1, _xlfn._xlws.FILTER(_xlpm.Eind, _xlpm.ZW = MIN(_xlpm.ZW)), _xlpm.TMM = 2, _xlfn._xlws.FILTER(_xlpm.Eind, _xlpm.ZW = MAX(_xlpm.ZW)))))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iSpalte">_xlfn.LAMBDA(_xlpm.Zelle,COLUMN(INDIRECT(_xlpm.Zelle)))</definedName>
    <definedName name="IstPrimzahl">_xlfn.LAMBDA(_xlpm.Zahl, _xlfn.IFS(_xlpm.Zahl &lt;= 1, FALSE, _xlpm.Zahl = 2, TRUE, TRUE, SUMPRODUCT(--(MOD(_xlpm.Zahl, _xlfn.SEQUENCE(ROUNDUP(SQRT(_xlpm.Zahl), 0) - 1, 1, 2)) = 0)) = 0))</definedName>
    <definedName name="iZeile">_xlfn.LAMBDA(_xlpm.Zelle,ROW(INDIRECT(_xlpm.Zelle)))</definedName>
    <definedName name="Karten_FelderZwischen" comment="Gibt alle Adressen zwischen 2 Feldern aus">_xlfn.LAMBDA(_xlpm.Start,_xlpm.Ende,_xlop.Blatt,_xlop.Addr0_Ind1_Beides2,     _xlfn.LET(         _xlpm.AIB, IF(_xlfn.ISOMITTED(_xlpm.Addr0_Ind1_Beides2), 1, _xlpm.Addr0_Ind1_Beides2),         _xlpm.tbl, IF(_xlfn.ISOMITTED(_xlpm.Blatt), "", _xlpm.Blatt &amp; "!"),         _xlpm.s, INDIRECT(_xlpm.Start),         _xlpm.e, INDIRECT(_xlpm.Ende),         _xlpm.sZ, ROW(_xlpm.s),         _xlpm.sS, COLUMN(_xlpm.s),         _xlpm.eZ, ROW(_xlpm.e),         _xlpm.eS, COLUMN(_xlpm.e),         _xlpm.minZ, MIN(_xlpm.sZ, _xlpm.eZ),         _xlpm.maxZ, MAX(_xlpm.sZ, _xlpm.eZ),         _xlpm.minS, MIN(_xlpm.sS, _xlpm.eS),         _xlpm.maxS, MAX(_xlpm.sS, _xlpm.eS),         _xlpm.anZ, _xlpm.maxZ - _xlpm.minZ + 1,         _xlpm.anS, _xlpm.maxS - _xlpm.minS + 1,         _xlpm.idx, _xlfn.SEQUENCE(_xlpm.anZ * _xlpm.anS, 1, 0, 1),         _xlpm.z, _xlpm.minZ + INT(_xlpm.idx / _xlpm.anS),         _xlpm.sm, _xlpm.minS + MOD(_xlpm.idx, _xlpm.anS),         _xlfn.IFS(             _xlpm.AIB = 0,             _xlpm.tbl &amp; ADDRESS(_xlpm.z, _xlpm.sm, 4),             _xlpm.AIB = 1,             INDIRECT(_xlpm.tbl &amp; _xlpm.Start &amp; ":" &amp; _xlpm.Ende),             _xlpm.AIB = 2,             _xlfn.HSTACK(_xlpm.tbl &amp; ADDRESS(_xlpm.z, _xlpm.sm, 4), INDIRECT(_xlpm.tbl &amp; _xlpm.Start &amp; ":" &amp; _xlpm.Ende))         )     ) )</definedName>
    <definedName name="Karten_WerteImUmkreis" comment="Gibt alle Werte im angegebenen Umkreis an, mit und ohne Diagonale, mit und ohne Startpunkt.">_xlfn.LAMBDA(_xlpm.Start,_xlpm.Matrix,_xlop.Radius,_xlop.Diagonal_Nein0_Ja1,_xlop.MitStart_Nein0_Ja1,_xlop.Matrix0_Sum1_Mitt2_Min3_Max4,_xlop.StartIndirekt0_Direkt1, _xlfn.LET(_xlpm.MSM, _xlfn.IFS(_xlfn.ISOMITTED(_xlpm.Matrix0_Sum1_Mitt2_Min3_Max4), 0, AND(_xlpm.Matrix0_Sum1_Mitt2_Min3_Max4 &gt; 0, _xlpm.Matrix0_Sum1_Mitt2_Min3_Max4 &lt; 5), _xlpm.Matrix0_Sum1_Mitt2_Min3_Max4, TRUE, 0), _xlpm.INDI, _xlfn.IFS(_xlfn.ISOMITTED(_xlpm.StartIndirekt0_Direkt1), 0, _xlpm.StartIndirekt0_Direkt1 = 0, 0, _xlpm.StartIndirekt0_Direkt1 = 1, 1), _xlpm.R, IF(_xlfn.ISOMITTED(_xlpm.Radius), 1, _xlpm.Radius), _xlpm.D, IF(_xlfn.ISOMITTED(_xlpm.Diagonal_Nein0_Ja1), 0, _xlpm.Diagonal_Nein0_Ja1), _xlpm.MS, IF(_xlfn.ISOMITTED(_xlpm.MitStart_Nein0_Ja1), 1, _xlpm.MitStart_Nein0_Ja1), _xlpm.sRef, IF(_xlpm.INDI = 0, INDIRECT(_xlpm.Start), _xlpm.Start), _xlpm.sRow, ROW(_xlpm.sRef), _xlpm.sCol, COLUMN(_xlpm.sRef), _xlpm.mTop, MIN(ROW(_xlpm.Matrix)), _xlpm.mLeft, MIN(COLUMN(_xlpm.Matrix)), _xlpm.mBottom, MAX(ROW(_xlpm.Matrix)), _xlpm.mRight, MAX(COLUMN(_xlpm.Matrix)), _xlpm.rows, _xlfn.SEQUENCE(2 * _xlpm.R + 1, 1, _xlpm.sRow - _xlpm.R), _xlpm.cols, _xlfn.SEQUENCE(1, 2 * _xlpm.R + 1, _xlpm.sCol - _xlpm.R), _xlpm.gridRows, _xlpm.rows + 0 * _xlpm.cols, _xlpm.gridCols, 0 * _xlpm.rows + _xlpm.cols, _xlpm.dRow, _xlpm.gridRows - _xlpm.sRow, _xlpm.dCol, _xlpm.gridCols - _xlpm.sCol, _xlpm.distRow, ABS(_xlpm.dRow), _xlpm.distCol, ABS(_xlpm.dCol), _xlpm.cheby, MAX(_xlpm.distRow, _xlpm.distCol), _xlpm.isStart, (_xlpm.dRow = 0) * (_xlpm.dCol = 0), _xlpm.allowed, IF(_xlpm.D = 1, ((_xlpm.cheby &gt;= 1) * (_xlpm.cheby &lt;= _xlpm.R)) + _xlpm.isStart, ((_xlpm.dRow = 0) * (_xlpm.distCol &gt;= 1) * (_xlpm.distCol &lt;= _xlpm.R) + (_xlpm.dCol = 0) * (_xlpm.distRow &gt;= 1) * (_xlpm.distRow &lt;= _xlpm.R) + _xlpm.isStart)), _xlpm.allowed2, IF(_xlpm.MS = 1, _xlpm.allowed, _xlpm.allowed * (1 - _xlpm.isStart)), _xlpm.inMatrix, (_xlpm.gridRows &gt;= _xlpm.mTop) * (_xlpm.gridRows &lt;= _xlpm.mBottom) * (_xlpm.gridCols &gt;= _xlpm.mLeft) * (_xlpm.gridCols &lt;= _xlpm.mRight), _xlpm.result, IF(_xlpm.allowed2 * _xlpm.inMatrix, IF(ISBLANK(INDEX(_xlpm.Matrix, _xlpm.gridRows - _xlpm.mTop + 1, _xlpm.gridCols - _xlpm.mLeft + 1)), "", INDEX(_xlpm.Matrix, _xlpm.gridRows - _xlpm.mTop + 1, _xlpm.gridCols - _xlpm.mLeft + 1)), ""), _xlfn.IFS(_xlpm.MSM = 0, _xlpm.result, _xlpm.MSM = 1, SUM(_xlpm.result), _xlpm.MSM = 2, AVERAGE(_xlpm.result), _xlpm.MSM = 3, MIN(_xlpm.result), _xlpm.MSM = 4, MAX(_xlpm.result))))</definedName>
    <definedName name="Karten_WerteInRichtung2" comment="Richtung auch in _TabellePfeile! // Richtung: 1-o, 2-u, 3-l, 4-r, 5-ol, 6-or, 7-ul, 8-ur // Start: 0-ja, 1-nein // Modus: 0-Matrix, 1-Summe, 2-Mittel, 3-MIN, 4-MAX">_xlfn.LAMBDA(_xlpm.Start,_xlpm.Richtung,_xlpm.Matrix,_xlop.Anzahl,_xlop.mitStart,_xlop.Modus, _xlfn.LET(_xlpm.Str, INDIRECT(_xlpm.Start), _xlpm.Z0, ROW(_xlpm.Str), _xlpm.S0, COLUMN(_xlpm.Str), _xlpm.Zmin, MIN(ROW(_xlpm.Matrix)), _xlpm.Zmax, MAX(ROW(_xlpm.Matrix)), _xlpm.Smin, MIN(COLUMN(_xlpm.Matrix)), _xlpm.Smax, MAX(COLUMN(_xlpm.Matrix)), _xlpm.Skip, IF(_xlfn.ISOMITTED(_xlpm.mitStart), 0, _xlpm.mitStart), _xlpm.Anz, IF(_xlfn.ISOMITTED(_xlpm.Anzahl), 0, _xlpm.Anzahl), _xlpm.MSM, _xlfn.IFS(_xlfn.ISOMITTED(_xlpm.Modus), 0, AND(_xlpm.Modus &gt;= 0, _xlpm.Modus &lt;= 4), _xlpm.Modus, TRUE, 0), _xlpm.dZ, CHOOSE(_xlpm.Richtung, -1, 1, 0, 0, -1, -1, 1, 1), _xlpm.dS, CHOOSE(_xlpm.Richtung, 0, 0, -1, 1, -1, 1, -1, 1), _xlpm.MaxInc, _xlfn.IFS(_xlpm.Richtung = 1, _xlpm.Z0 - _xlpm.Zmin, _xlpm.Richtung = 2, _xlpm.Zmax - _xlpm.Z0, _xlpm.Richtung = 3, _xlpm.S0 - _xlpm.Smin, _xlpm.Richtung = 4, _xlpm.Smax - _xlpm.S0, _xlpm.Richtung = 5, MIN(_xlpm.Z0 - _xlpm.Zmin, _xlpm.S0 - _xlpm.Smin), _xlpm.Richtung = 6, MIN(_xlpm.Z0 - _xlpm.Zmin, _xlpm.Smax - _xlpm.S0), _xlpm.Richtung = 7, MIN(_xlpm.Zmax - _xlpm.Z0, _xlpm.S0 - _xlpm.Smin), _xlpm.Richtung = 8, MIN(_xlpm.Zmax - _xlpm.Z0, _xlpm.Smax - _xlpm.S0)), _xlpm.MaxEff, IF(_xlpm.Skip = 0, _xlpm.MaxInc, MAX(_xlpm.MaxInc - 1, 0)), _xlpm.Eff, IF(_xlpm.Anz = 0, _xlpm.MaxEff, MIN(_xlpm.Anz, _xlpm.MaxEff)), _xlpm.Schritte, _xlfn.SEQUENCE(_xlpm.Eff + 1, 1, _xlpm.Skip, 1), _xlpm.Zpos, _xlpm.Z0 + _xlpm.dZ * _xlpm.Schritte, _xlpm.Spos, _xlpm.S0 + _xlpm.dS * _xlpm.Schritte, _xlpm.Werte, INDEX(_xlpm.Matrix, _xlpm.Zpos - _xlpm.Zmin + 1, _xlpm.Spos - _xlpm.Smin + 1), _xlfn.IFS(_xlpm.MSM = 0, _xlpm.Werte, _xlpm.MSM = 1, SUM(_xlpm.Werte), _xlpm.MSM = 2, AVERAGE(_xlpm.Werte), _xlpm.MSM = 3, MIN(_xlfn._xlws.FILTER(_xlpm.Werte, ISNUMBER(_xlpm.Werte))), _xlpm.MSM = 4, MAX(_xlfn._xlws.FILTER(_xlpm.Werte, ISNUMBER(_xlpm.Werte))))))</definedName>
    <definedName name="Kleinste" comment="Gibt den oder die Einträge mit dem kleinsten Wert aus / Alle Werte Standard 0, nur ersten Wert 1">_xlfn.LAMBDA(_xlpm.Werte,_xlpm.Ausgabe,_xlop.Alle0oderErstes1,_xlfn.LET(_xlpm.A1p,IF(_xlfn.ISOMITTED(_xlpm.Alle0oderErstes1),0,_xlpm.Alle0oderErstes1), _xlfn.IFS(_xlpm.A1p=0,_xlfn._xlws.FILTER(_xlpm.Ausgabe,_xlpm.Werte=MIN(_xlpm.Werte)),_xlpm.A1p=1,_xlfn.XLOOKUP(MIN(_xlpm.Werte),_xlpm.Werte,_xlpm.Ausgabe,,0,1))))</definedName>
    <definedName name="Kombinationsmöglichkeiten">_xlfn.LAMBDA(_xlpm.Matrix,_xlpm.Anzahl,_xlop.Kombination0_Permutation1,_xlop.ZahlMehrfach_Nein0_Ja1,_xlop.KürzereKombis_Nein0_Ja1, IF(_xlpm.Anzahl &lt; 1, NA(), _xlfn.LET(_xlpm.ci_, 1, _xlpm.flat_, IF(_xlpm.ci_ = 1, _xlfn.LET(_xlpm.r_, _xlfn.TOCOL(_xlpm.Matrix, 3), _xlfn.UNIQUE(_xlfn._xlws.FILTER(_xlpm.r_, _xlpm.r_ &lt;&gt; ""))), _xlfn.TOCOL(_xlpm.Matrix)), _xlpm.m_, ROWS(_xlpm.flat_), _xlpm.om_, IF(_xlfn.ISOMITTED(_xlpm.Kombination0_Permutation1), 0, _xlpm.Kombination0_Permutation1), _xlpm.rep_, IF(_xlfn.ISOMITTED(_xlpm.ZahlMehrfach_Nein0_Ja1), 0, _xlpm.ZahlMehrfach_Nein0_Ja1), _xlpm.cd_, IF(_xlfn.ISOMITTED(_xlpm.KürzereKombis_Nein0_Ja1), 0, _xlpm.KürzereKombis_Nein0_Ja1), _xlpm.chars_, _xlfn.UNICHAR(_xlfn.SEQUENCE(, _xlpm.m_, 20001)), _xlpm.one_k_, _xlfn.LAMBDA(_xlpm.k_, IF(_xlpm.k_ &lt; 1, NA(), _xlfn.LET(_xlpm.seq_, _xlfn.SEQUENCE(, _xlpm.k_), _xlpm.built_, _xlfn.REDUCE("", _xlpm.seq_, _xlfn.LAMBDA(_xlpm.acc_,_xlpm.step_, _xlfn.TOCOL(_xlfn.IFS(IF(_xlpm.om_ = 1, IF(_xlpm.rep_ = 1, 1, ISERR(FIND(_xlpm.chars_, _xlpm.acc_))), IF(_xlpm.rep_ = 1, RIGHT(_xlpm.acc_) &lt;= _xlpm.chars_, RIGHT(_xlpm.acc_) &lt; _xlpm.chars_)), _xlpm.acc_ &amp; _xlpm.chars_), 3))), IFERROR(INDEX(_xlpm.flat_, _xlfn.UNICODE(MID(_xlpm.built_, _xlpm.seq_, 1)) - 20000), NA())))), _xlpm.pad_, _xlfn.LAMBDA(_xlpm.x_, _xlfn.EXPAND(_xlpm.x_, ROWS(_xlpm.x_), _xlpm.Anzahl, "")), IF(_xlpm.cd_ = 0, _xlpm.pad_(_xlpm.one_k_(_xlpm.Anzahl)), _xlfn.LET(_xlpm.max_k_, IF(_xlpm.rep_ = 1, _xlpm.Anzahl, MIN(_xlpm.Anzahl, _xlpm.m_)), _xlpm.seed_, _xlpm.pad_(_xlpm.one_k_(_xlpm.max_k_)), IF(_xlpm.max_k_ = 1, _xlpm.seed_, _xlfn.REDUCE(_xlpm.seed_, _xlfn.SEQUENCE(_xlpm.max_k_ - 1, 1, _xlpm.max_k_ - 1, -1), _xlfn.LAMBDA(_xlpm.acc_,_xlpm.k_, _xlfn.VSTACK(_xlpm.acc_, _xlpm.pad_(_xlpm.one_k_(_xlpm.k_)))))))))))</definedName>
    <definedName name="Matrix2Spalte" comment="Matrix in Spalte mit Adressangabe">_xlfn.LAMBDA(_xlpm.Matrix,_xlop.Zeilenüberschrift,_xlop.Spaltenüberschrift,_xlop.Trennzeichen,_xlop.ZÜ2,_xlop.SÜ2,_xlop.TZ_2, _xlfn.LET( _xlpm.TR,IF(_xlfn.ISOMITTED(_xlpm.Trennzeichen),";",_xlpm.Trennzeichen), _xlpm.TZ,IF(_xlfn.ISOMITTED(_xlpm.TZ_2),";",_xlpm.TZ_2), _xlpm.ZÜ_1,IF(_xlfn.ISOMITTED(_xlpm.Zeilenüberschrift),"",_xlpm.Zeilenüberschrift), _xlpm.SÜ_1,IF(_xlfn.ISOMITTED(_xlpm.Spaltenüberschrift),"",_xlpm.Spaltenüberschrift), _xlpm.ZÜ_2,IF(_xlfn.ISOMITTED(_xlpm.ZÜ2),"",_xlpm.TZ&amp;_xlpm.ZÜ2), _xlpm.SÜ_2,IF(_xlfn.ISOMITTED(_xlpm.SÜ2),"",_xlpm.TZ&amp;_xlpm.SÜ2), _xlpm.Adr_1,ADDRESS(ROW(_xlpm.ZÜ_1),COLUMN(_xlpm.SÜ_1),4), _xlpm.Adr_2,_xlfn.MAP(_xlpm.Matrix,_xlfn.LAMBDA(_xlpm.x,ADDRESS(ROW(_xlpm.x),COLUMN(_xlpm.x),4))), _xlfn.TOCOL(IF(AND(_xlfn.ISOMITTED(_xlpm.Zeilenüberschrift),_xlfn.ISOMITTED(_xlpm.Spaltenüberschrift)),_xlpm.Adr_2&amp;_xlpm.TR&amp;_xlpm.Matrix,_xlpm.Adr_1&amp;_xlpm.TR&amp;_xlpm.ZÜ_1&amp;_xlpm.ZÜ_2&amp;_xlpm.TR&amp;_xlpm.SÜ_1&amp;_xlpm.SÜ_2&amp;_xlpm.TR&amp;_xlpm.Matrix))))</definedName>
    <definedName name="MatrixRotieren" comment="Rechts, Links, Horizontal spiegeln, Vertikal spiegeln, auch in Kombination (&quot;RH&quot;)">_xlfn.LAMBDA(_xlpm.Matrix,_xlpm.rlhv, _xlfn.LET(_xlpm.base, _xlpm.Matrix, _xlpm.is_scalar, AND(ROWS(_xlpm.base) = 1, COLUMNS(_xlpm.base) = 1), _xlpm.rlhvclean, IF(_xlfn.ISOMITTED(_xlpm.rlhv), "r", _xlpm.rlhv), _xlpm.op_count, LEN(_xlpm.rlhvclean), _xlpm.apply_one, _xlfn.LAMBDA(_xlpm.cur,_xlpm.op, _xlfn.LET(_xlpm.row_count, ROWS(_xlpm.cur), _xlpm.col_count, COLUMNS(_xlpm.cur), IF(OR(_xlpm.op = "r", _xlpm.op = 1), _xlfn.MAKEARRAY(_xlpm.col_count, _xlpm.row_count, _xlfn.LAMBDA(_xlpm.i,_xlpm.j, INDEX(_xlpm.cur, _xlpm.row_count - _xlpm.j + 1, _xlpm.i))), IF(_xlpm.op = "l", _xlfn.MAKEARRAY(_xlpm.col_count, _xlpm.row_count, _xlfn.LAMBDA(_xlpm.i,_xlpm.j, INDEX(_xlpm.cur, _xlpm.j, _xlpm.col_count - _xlpm.i + 1))), IF(_xlpm.op = "h", _xlfn.MAKEARRAY(_xlpm.row_count, _xlpm.col_count, _xlfn.LAMBDA(_xlpm.i,_xlpm.j, INDEX(_xlpm.cur, _xlpm.row_count - _xlpm.i + 1, _xlpm.j))), IF(_xlpm.op = "v", _xlfn.MAKEARRAY(_xlpm.row_count, _xlpm.col_count, _xlfn.LAMBDA(_xlpm.i,_xlpm.j, INDEX(_xlpm.cur, _xlpm.i, _xlpm.col_count - _xlpm.j + 1))), NA())))))), IF(_xlpm.is_scalar, _xlpm.base, IF(_xlpm.op_count = 0, _xlpm.base, IF(_xlpm.op_count &gt; 2, NA(), _xlfn.REDUCE(_xlpm.base, _xlfn.SEQUENCE(_xlpm.op_count), _xlfn.LAMBDA(_xlpm.cur,_xlpm.k, _xlpm.apply_one(_xlpm.cur, MID(_xlpm.rlhvclean, _xlpm.k, 1)))))))))</definedName>
    <definedName name="NurBuchstaben">_xlfn.LAMBDA(_xlpm.Text,_xlop.Text0_Klein1_Groß2,     _xlfn.LET(         _xlpm.TKG, IF(_xlfn.ISOMITTED(_xlpm.Text0_Klein1_Groß2),0,_xlpm.Text0_Klein1_Groß2),         _xlfn.IFS(             OR(_xlpm.TKG = 0, _xlfn.ISOMITTED(_xlpm.TKG)),             _xlfn.REGEXEXTRACT(_xlpm.Text, "\D+", 1),             _xlpm.TKG = 1,             _xlfn.REGEXEXTRACT(_xlpm.Text, "[a-z]", 1),             _xlpm.TKG = 2,             _xlfn.REGEXEXTRACT(_xlpm.Text, "[A-Z]", 1),             TRUE,             _xlfn.REGEXEXTRACT(_xlpm.Text, "\D+", 1)         )     ) )</definedName>
    <definedName name="NurZahlen">_xlfn.LAMBDA(_xlpm.Text, _xlfn.REGEXEXTRACT(_xlpm.Text, "\d+", 1)*1)</definedName>
    <definedName name="OffsetBuchstaben">_xlfn.LAMBDA(_xlpm.text,_xlpm.offset, _xlfn.LET(_xlpm.r, ROWS(_xlpm.text), _xlpm.c, COLUMNS(_xlpm.text), _xlpm.f, _xlfn.LAMBDA(_xlpm.s,_xlpm.o, _xlfn.LET(_xlpm.s_text, _xlpm.s &amp; "", _xlpm.n, LEN(_xlpm.s_text), _xlpm.chars, IF(_xlpm.n = 0, "", MID(_xlpm.s_text, _xlfn.SEQUENCE(_xlpm.n), 1)), _xlpm.shifted, IF(_xlpm.n = 0, "", _xlfn.MAP(_xlpm.chars, _xlfn.LAMBDA(_xlpm.ch, _xlfn.LET(_xlpm.code, CODE(_xlpm.ch), _xlpm.is_u, (_xlpm.code &gt;= 65) * (_xlpm.code &lt;= 90), _xlpm.is_l, (_xlpm.code &gt;= 97) * (_xlpm.code &lt;= 122), _xlpm.new_u, CHAR(65 + MOD(_xlpm.code - 65 + _xlpm.o, 26)), _xlpm.new_l, CHAR(97 + MOD(_xlpm.code - 97 + _xlpm.o, 26)), IF(_xlpm.is_u, _xlpm.new_u, IF(_xlpm.is_l, _xlpm.new_l, _xlpm.ch)))))), IF(_xlpm.n = 0, "", _xlfn.TEXTJOIN("", TRUE, _xlpm.shifted)))), _xlfn.MAKEARRAY(_xlpm.r, _xlpm.c, _xlfn.LAMBDA(_xlpm.i,_xlpm.j, _xlpm.f(INDEX(_xlpm.text, _xlpm.i, _xlpm.j), IF(ROWS(_xlpm.offset) * COLUMNS(_xlpm.offset) = 1, _xlpm.offset, INDEX(_xlpm.offset, _xlpm.i, _xlpm.j)))))))</definedName>
    <definedName name="Pal_Workbook_GUID" hidden="1">"KHB4MCAJCJC3RUEFU5N2FB3U"</definedName>
    <definedName name="PfeileNächsteZelle">_xlfn.LAMBDA(_xlpm.Startzelle,_xlpm.Pfeil,_xlop.Rückwärts, _xlfn.LET(_xlpm.Z, ROW(INDIRECT(_xlpm.Startzelle)), _xlpm.S, COLUMN(INDIRECT(_xlpm.Startzelle)), _xlpm.Rück, _xlfn.IFS(OR(_xlpm.Rückwärts = 0, _xlfn.ISOMITTED(_xlpm.Rückwärts)), 1, _xlpm.Rückwärts = 1, -1, TRUE, 1), _xlpm.S_Off, _xlfn.SWITCH(_xlpm.Pfeil, "←", -1, "↖", -1, "↗", 1, "→", 1, "↙", -1, "↓", 0, "↘", 1, "↑", 0), _xlpm.Z_Off, _xlfn.SWITCH(_xlpm.Pfeil, "←", 0, "↖", -1, "↗", -1, "→", 0, "↙", 1, "↓", 1, "↘", 1, "↑", -1), ADDRESS((_xlpm.Z + _xlpm.Z_Off) * _xlpm.Rück, (_xlpm.S + _xlpm.S_Off) * _xlpm.Rück, 4)))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pielKarten_Bereinigen">_xlfn.LAMBDA(_xlpm.Feld,SUBSTITUTE(_xlpm.Feld,"0",""))</definedName>
    <definedName name="SpielKarten_ZelleTrennen">_xlfn.LAMBDA(_xlpm.KartenStapelZelle,SUBSTITUTE(MID(SUBSTITUTE(_xlpm.KartenStapelZelle,10,"x"),_xlfn.SEQUENCE(,LEN(_xlpm.KartenStapelZelle)/2,,2),2),"x",10))</definedName>
    <definedName name="ST">_xlfn.LAMBDA(_xlpm.text,_xlfn.TEXTSPLIT(_xlpm.text,";"))</definedName>
    <definedName name="TxTrenn" comment="Trennt einen Text // Vorwärts 0, Rückwärts 1 // In Spalten 0, in Zeilen 1">_xlfn.LAMBDA(_xlpm.Text,_xlop.Anzahl,_xlop.Richtung_V0_R1,_xlop.Zeile0Spalte1, _xlfn.LET(_xlpm.RI, IF(_xlfn.ISOMITTED(_xlpm.Richtung_V0_R1), 0, _xlpm.Richtung_V0_R1), _xlpm.ZS, IF(_xlfn.ISOMITTED(_xlpm.Zeile0Spalte1), 0, _xlpm.Zeile0Spalte1), _xlpm.AZ, _xlfn.IFS(_xlfn.ISOMITTED(_xlpm.Anzahl), 1, _xlpm.Anzahl &lt;= 0, NA(), TRUE, _xlpm.Anzahl), _xlpm.txt, MID(_xlpm.Text, _xlfn.SEQUENCE(, LEN(_xlpm.Text) / _xlpm.AZ, IF(_xlpm.RI = 1, LEN(_xlpm.Text), 1), IF(_xlpm.RI = 1, -1 * _xlpm.AZ, 1 * _xlpm.AZ)), 1), IF(_xlpm.ZS = 0, _xlpm.txt, TRANSPOSE(_xlpm.txt))))</definedName>
    <definedName name="WennLeer" comment="Falls Wert istleer() WAHR Ersatzwert, sonst Wert">_xlfn.LAMBDA(_xlpm.Wert,_xlpm.Ersatzwert,IF(ISBLANK(_xlpm.Wert),_xlpm.Ersatzwert,_xlpm.Wert))</definedName>
    <definedName name="Würfel2Zahl">_xlfn.LAMBDA(_xlpm.Würfel, IF(ZwischenWert(_xlfn.UNICODE(_xlpm.Würfel), 9856, 9861, 0), _xlfn.UNICODE(_xlpm.Würfel) - 9855, "#keinWürfel"))</definedName>
    <definedName name="xEindeutig">_xlfn.LAMBDA(_xlpm.Matrix, _xlfn.UNIQUE(_xlfn.TOCOL(_xlpm.Matrix, 3)))</definedName>
    <definedName name="xFilter">_xlfn.LAMBDA(_xlpm.Martix,_xlpm.Filter1,_xlop.Filter2,_xlop.Filter3,_xlop.Filter4,_xlop.Filter5, _xlfn.LET(_xlpm.nr, ROWS(_xlpm.Martix), _xlpm.nc, COLUMNS(_xlpm.Martix), _xlpm.filt2, IF(_xlfn.ISOMITTED(_xlpm.Filter2), 1, _xlpm.Filter2), _xlpm.filt3, IF(_xlfn.ISOMITTED(_xlpm.Filter3), 1, _xlpm.Filter3), _xlpm.filt4, IF(_xlfn.ISOMITTED(_xlpm.Filter4), 1, _xlpm.Filter4), _xlpm.filt5, IF(_xlfn.ISOMITTED(_xlpm.Filter5), 1, _xlpm.Filter5), _xlpm.as_row_mask, _xlfn.LAMBDA(_xlpm.g, IF(AND(ROWS(_xlpm.g) = _xlpm.nr, COLUMNS(_xlpm.g) = 1, _xlpm.nr &gt; 1), _xlpm.g, 1)), _xlpm.as_col_mask, _xlfn.LAMBDA(_xlpm.g, IF(AND(COLUMNS(_xlpm.g) = _xlpm.nc, ROWS(_xlpm.g) = 1, _xlpm.nc &gt; 1), _xlpm.g, 1)), _xlpm.row_mask, _xlfn.SEQUENCE(_xlpm.nr, 1, 1, 0) * _xlpm.as_row_mask(_xlpm.Filter1) * _xlpm.as_row_mask(_xlpm.filt2) * _xlpm.as_row_mask(_xlpm.filt3) * _xlpm.as_row_mask(_xlpm.filt4) * _xlpm.as_row_mask(_xlpm.filt5), _xlpm.col_mask, _xlfn.SEQUENCE(1, _xlpm.nc, 1, 0) * _xlpm.as_col_mask(_xlpm.Filter1) * _xlpm.as_col_mask(_xlpm.filt2) * _xlpm.as_col_mask(_xlpm.filt3) * _xlpm.as_col_mask(_xlpm.filt4) * _xlpm.as_col_mask(_xlpm.filt5), IFERROR(_xlfn._xlws.FILTER(_xlfn._xlws.FILTER(_xlpm.Martix, _xlpm.row_mask), _xlpm.col_mask), "")))</definedName>
    <definedName name="xkGrößte">_xlfn.LAMBDA(_xlpm.Bereich,_xlpm.kGrößte,_xlop.Alle0_Sum1_Mitt2, _xlfn.LET(_xlpm.ASM, _xlfn.IFS(_xlfn.ISOMITTED(_xlpm.Alle0_Sum1_Mitt2), 0, _xlpm.Alle0_Sum1_Mitt2 = 1, 1, _xlpm.Alle0_Sum1_Mitt2 = 2, 2, TRUE, 0), _xlpm.Zahl, LARGE(_xlfn.NUMBERVALUE(_xlpm.Bereich), _xlfn.SEQUENCE(_xlpm.kGrößte)), _xlfn.IFS(_xlpm.ASM = 0, _xlpm.Zahl, _xlpm.ASM = 1, SUM(_xlpm.Zahl), _xlpm.ASM = 2, AVERAGE(_xlpm.Zahl))))</definedName>
    <definedName name="xkKleinste">_xlfn.LAMBDA(_xlpm.Bereich,_xlpm.kKlein,_xlop.Alle0_Sum1_Mitt2, _xlfn.LET(_xlpm.ASM, _xlfn.IFS(_xlfn.ISOMITTED(_xlpm.Alle0_Sum1_Mitt2), 0, _xlpm.Alle0_Sum1_Mitt2 = 1, 1, _xlpm.Alle0_Sum1_Mitt2 = 2, 2, TRUE, 0), _xlpm.Zahl, SMALL(_xlfn.NUMBERVALUE(_xlpm.Bereich), _xlfn.SEQUENCE(_xlpm.kKlein)), _xlfn.IFS(_xlpm.ASM = 0, _xlpm.Zahl, _xlpm.ASM = 1, SUM(_xlpm.Zahl), _xlpm.ASM = 2, AVERAGE(_xlpm.Zahl))))</definedName>
    <definedName name="xRest">_xlfn.LAMBDA(_xlpm.a,_xlpm.b, IF(MOD(_xlpm.a, _xlpm.b) = 0, _xlpm.b, MOD(_xlpm.a, _xlpm.b)))</definedName>
    <definedName name="xTextteilen">_xlfn.LAMBDA(_xlpm.Text,_xlop.Trennzeichen, _xlfn.LET(_xlpm.use_delim_arg, NOT(_xlfn.ISOMITTED(_xlpm.Trennzeichen)), _xlpm.inferred_delim, IF(_xlpm.use_delim_arg, "", _xlfn.REGEXEXTRACT(_xlpm.Text, "[^A-Za-z0-9]")), _xlpm.can_split, IF(_xlpm.use_delim_arg, TRUE, NOT(ISERROR(_xlpm.inferred_delim))), _xlpm.eff_delim, IF(_xlpm.use_delim_arg, _xlpm.Trennzeichen, _xlpm.inferred_delim), _xlpm.base_split, IF(_xlpm.can_split, IFERROR(_xlfn.TOCOL(TRIM(_xlfn.TEXTSPLIT(_xlpm.Text, _xlpm.eff_delim))), _xlpm.Text), _xlpm.Text), _xlpm.split, _xlpm.base_split, _xlpm.one_entry, COUNTA(_xlpm.split) = 1, _xlpm.all_numbers, COUNTA(_xlfn._xlws.FILTER(_xlpm.split, ISNUMBER(_xlpm.split * 1))) = COUNTA(_xlpm.split), _xlpm.as_row_val, 0, _xlpm.core_result, IF(_xlpm.one_entry, _xlpm.Text, IF(_xlpm.all_numbers, _xlpm.split * 1, _xlpm.split)), IF(AND(_xlpm.as_row_val = 1, NOT(_xlpm.one_entry)), _xlfn.TOROW(_xlpm.core_result), _xlpm.core_result)))</definedName>
    <definedName name="Zahl2Text">_xlfn.LAMBDA(_xlpm.Zahl,_xlfn.TEXTBEFORE(_xlfn.TRANSLATE(BAHTTEXT(_xlpm.Zahl), , "de"), " Baht"))</definedName>
    <definedName name="ZwischenWert">_xlfn.LAMBDA(_xlpm.Wert,_xlop.Vergleichswert1,_xlop.Vergleichswert2,_xlop.GröKleGlei0_GröKle1, _xlfn.LET(_xlpm.KW, _xlpm.Vergleichswert1, _xlpm.GW, _xlpm.Vergleichswert2, _xlpm.GKG, _xlfn.IFS(_xlfn.ISOMITTED(_xlpm.GröKleGlei0_GröKle1), 0, _xlpm.GröKleGlei0_GröKle1 = 1, 1, TRUE, 0), _xlfn.IFS(_xlpm.GKG = 0, AND(_xlpm.KW &lt;= _xlpm.Wert, _xlpm.GW &gt;= _xlpm.Wert), _xlpm.GKG = 1, AND(_xlpm.KW &lt; _xlpm.Wert, _xlpm.GW &gt; _xlpm.Wert))))</definedName>
    <definedName name="Zyklus">_xlfn.LAMBDA(_xlpm.ErsteZahl,_xlpm.ZweiteZahl, _xlfn.LET(_xlpm.seq, _xlfn.SEQUENCE(_xlpm.ErsteZahl * _xlpm.ZweiteZahl, 1, 0), _xlfn.HSTACK(INT(_xlpm.seq / _xlpm.ZweiteZahl) + 1, MOD(_xlpm.seq, _xlpm.ZweiteZahl) + 1)))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4" l="1" a="1"/>
  <c r="B39" i="14" s="1"/>
  <c r="B23" i="14" l="1" a="1"/>
  <c r="B23" i="14" s="1"/>
  <c r="B9" i="14" a="1"/>
  <c r="B9" i="14" s="1"/>
  <c r="B7" i="14" a="1"/>
  <c r="B7" i="14" s="1"/>
  <c r="B4" i="14" l="1" a="1"/>
  <c r="B4" i="14" s="1"/>
  <c r="B3" i="14" a="1"/>
  <c r="B3" i="14" s="1"/>
  <c r="B19" i="14" l="1" a="1"/>
  <c r="B19" i="14" s="1"/>
  <c r="B33" i="14" l="1" a="1"/>
  <c r="B33" i="14" s="1"/>
  <c r="B36" i="14" a="1"/>
  <c r="B36" i="14" s="1"/>
  <c r="B37" i="14" a="1"/>
  <c r="B37" i="14" s="1"/>
  <c r="B25" i="14" l="1" a="1"/>
  <c r="B25" i="14" s="1"/>
  <c r="B5" i="16" l="1" a="1"/>
  <c r="B5" i="16"/>
  <c r="B32" i="14"/>
  <c r="B4" i="16" a="1"/>
  <c r="B4" i="16"/>
  <c r="B3" i="16" a="1"/>
  <c r="B3" i="16" s="1"/>
  <c r="B2" i="16" a="1"/>
  <c r="B2" i="16" s="1"/>
  <c r="B35" i="14" a="1"/>
  <c r="B35" i="14" s="1"/>
  <c r="B34" i="14" a="1"/>
  <c r="B34" i="14" s="1"/>
  <c r="B22" i="14" a="1"/>
  <c r="B22" i="14" s="1"/>
  <c r="B40" i="14" a="1"/>
  <c r="B40" i="14" s="1"/>
  <c r="B5" i="14" l="1" a="1"/>
  <c r="B5" i="14" s="1"/>
  <c r="B2" i="14" l="1"/>
  <c r="B13" i="14" l="1" a="1"/>
  <c r="B13" i="14" s="1"/>
  <c r="B11" i="14" l="1" a="1"/>
  <c r="B11" i="14" s="1"/>
  <c r="B27" i="14" a="1"/>
  <c r="B27" i="14" s="1"/>
  <c r="B26" i="14" a="1"/>
  <c r="B26" i="14" s="1"/>
  <c r="B24" i="14" a="1"/>
  <c r="B24" i="14" s="1"/>
  <c r="B38" i="14" a="1"/>
  <c r="B38" i="14" s="1"/>
  <c r="B31" i="14" a="1"/>
  <c r="B31" i="14" s="1"/>
  <c r="B30" i="14" a="1"/>
  <c r="B30" i="14" s="1"/>
  <c r="B29" i="14" a="1"/>
  <c r="B29" i="14" s="1"/>
  <c r="B28" i="14" a="1"/>
  <c r="B28" i="14" s="1"/>
  <c r="B21" i="14" a="1"/>
  <c r="B21" i="14" s="1"/>
  <c r="B20" i="14" a="1"/>
  <c r="B20" i="14" s="1"/>
  <c r="B18" i="14" a="1"/>
  <c r="B18" i="14" s="1"/>
  <c r="B6" i="14" a="1"/>
  <c r="B6" i="14" s="1"/>
  <c r="B10" i="14" a="1"/>
  <c r="B10" i="14" s="1"/>
  <c r="A4" i="8" l="1" a="1"/>
  <c r="A4" i="8" s="1"/>
  <c r="A3" i="8" a="1"/>
  <c r="A3" i="8" s="1"/>
  <c r="I7" i="2" l="1"/>
  <c r="J7" i="2" s="1"/>
  <c r="I6" i="2"/>
  <c r="J6" i="2" s="1"/>
  <c r="I5" i="2"/>
  <c r="J5" i="2" s="1"/>
  <c r="I4" i="2"/>
  <c r="J4" i="2" s="1"/>
  <c r="I3" i="2"/>
  <c r="J3" i="2" s="1"/>
  <c r="I2" i="2"/>
  <c r="J2" i="2" s="1"/>
  <c r="C10" i="3" l="1" a="1"/>
  <c r="C10" i="3" s="1"/>
  <c r="C9" i="3" a="1"/>
  <c r="C9" i="3" s="1"/>
  <c r="C8" i="3" a="1"/>
  <c r="C8" i="3" s="1"/>
  <c r="C7" i="3" a="1"/>
  <c r="C7" i="3" s="1"/>
  <c r="C6" i="3" a="1"/>
  <c r="C6" i="3" s="1"/>
  <c r="C5" i="3" a="1"/>
  <c r="C5" i="3" s="1"/>
  <c r="C4" i="3" a="1"/>
  <c r="C4" i="3" s="1"/>
  <c r="C3" i="3" a="1"/>
  <c r="C3" i="3" s="1"/>
  <c r="C2" i="3" a="1"/>
  <c r="C2" i="3" s="1"/>
  <c r="C1" i="3" a="1"/>
  <c r="C1" i="3" s="1"/>
  <c r="B8" i="14" a="1"/>
  <c r="B8" i="14" s="1"/>
  <c r="B12" i="14" a="1"/>
  <c r="B12" i="14" s="1"/>
  <c r="B14" i="14" a="1"/>
  <c r="B14" i="14" s="1"/>
  <c r="B15" i="14" a="1"/>
  <c r="B15" i="14" s="1"/>
  <c r="B16" i="14" a="1"/>
  <c r="B16" i="14" s="1"/>
  <c r="B17" i="14" a="1"/>
  <c r="B17" i="14" s="1"/>
  <c r="B5" i="3"/>
  <c r="B1" i="3"/>
  <c r="B4" i="3"/>
  <c r="B10" i="3"/>
  <c r="B9" i="3"/>
  <c r="B8" i="3"/>
  <c r="B7" i="3"/>
  <c r="B6" i="3"/>
  <c r="B3" i="3"/>
  <c r="B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<sst xmlns="http://schemas.openxmlformats.org/spreadsheetml/2006/main" count="1476" uniqueCount="1157">
  <si>
    <t>T</t>
  </si>
  <si>
    <t>A</t>
  </si>
  <si>
    <t>Hallo Test 123</t>
  </si>
  <si>
    <t>AShb127</t>
  </si>
  <si>
    <t>AShb125</t>
  </si>
  <si>
    <t>AShb124</t>
  </si>
  <si>
    <t>AShb128</t>
  </si>
  <si>
    <t>AShb129</t>
  </si>
  <si>
    <t>FINDEN</t>
  </si>
  <si>
    <t>VERGLEICH</t>
  </si>
  <si>
    <t>D</t>
  </si>
  <si>
    <t>Letters</t>
  </si>
  <si>
    <t>Arrows</t>
  </si>
  <si>
    <t>Components</t>
  </si>
  <si>
    <t>U</t>
  </si>
  <si>
    <t>↑</t>
  </si>
  <si>
    <t>↓</t>
  </si>
  <si>
    <t>L</t>
  </si>
  <si>
    <t>←</t>
  </si>
  <si>
    <t>R</t>
  </si>
  <si>
    <t>→</t>
  </si>
  <si>
    <t>UL</t>
  </si>
  <si>
    <t>↖</t>
  </si>
  <si>
    <t>↑←</t>
  </si>
  <si>
    <t>UR</t>
  </si>
  <si>
    <t>↗</t>
  </si>
  <si>
    <t>↑→</t>
  </si>
  <si>
    <t>DL</t>
  </si>
  <si>
    <t>↙</t>
  </si>
  <si>
    <t>↓←</t>
  </si>
  <si>
    <t>DR</t>
  </si>
  <si>
    <t>↘</t>
  </si>
  <si>
    <t>↓→</t>
  </si>
  <si>
    <t>Spalte</t>
  </si>
  <si>
    <t>Zeile</t>
  </si>
  <si>
    <t>⚀</t>
  </si>
  <si>
    <t>⚁</t>
  </si>
  <si>
    <t>⚂</t>
  </si>
  <si>
    <t>⚃</t>
  </si>
  <si>
    <t>⚄</t>
  </si>
  <si>
    <t>⚅</t>
  </si>
  <si>
    <t>Würfel</t>
  </si>
  <si>
    <t>Wert</t>
  </si>
  <si>
    <t>ATCGATCG.</t>
  </si>
  <si>
    <t>AShb122.</t>
  </si>
  <si>
    <t>AShb123.</t>
  </si>
  <si>
    <t>Hallo Test 123.</t>
  </si>
  <si>
    <t>ÜBERNEHMEN</t>
  </si>
  <si>
    <t>VSTAPELN</t>
  </si>
  <si>
    <t>HSTAPELN</t>
  </si>
  <si>
    <t>Kleinste</t>
  </si>
  <si>
    <t>Größte</t>
  </si>
  <si>
    <t>Gibt den oder die Einträge mit dem größten Wert aus / Alle Werte Standard 0, nur ersten Wert 1</t>
  </si>
  <si>
    <t>Gibt den oder die Einträge mit dem kleinsten Wert aus / Alle Werte Standard 0, nur ersten Wert 1</t>
  </si>
  <si>
    <t>TxTrenn</t>
  </si>
  <si>
    <t>WennLeer</t>
  </si>
  <si>
    <t>Falls Wert istleer() WAHR Ersatzwert, sonst Wert</t>
  </si>
  <si>
    <t>Position Relativ_0 SZ_1 A1Matrix_2 // Trennzeichen ; Standard</t>
  </si>
  <si>
    <t>GROSS2</t>
  </si>
  <si>
    <t>ZwischenVerweis</t>
  </si>
  <si>
    <t>ZwischenWert</t>
  </si>
  <si>
    <t>AnzahlEinzelwert</t>
  </si>
  <si>
    <t>Zählt wie oft Wert aus Zelle oder Bereich in Textzelle vorkommt / 0 Anzahl Häufigkeit 1 Anzahl Verbleibend</t>
  </si>
  <si>
    <t>Sucht Wert aus Matrix und prüft ob Wert zwischen 2 Werten liegt</t>
  </si>
  <si>
    <t>xkGrößte</t>
  </si>
  <si>
    <t>xkKleinste</t>
  </si>
  <si>
    <t>Name</t>
  </si>
  <si>
    <t>Formel</t>
  </si>
  <si>
    <t>Beschreibung</t>
  </si>
  <si>
    <t>Karten_WerteInRichtung</t>
  </si>
  <si>
    <t>Karten_WerteImUmkreis</t>
  </si>
  <si>
    <t>Gibt gewisse Anzahl oder alle Werte bis Ende Matrix von Startpunkt in Richtung an.</t>
  </si>
  <si>
    <t>Gibt alle Werte im angegebenen Umkreis an, mit und ohne Diagonale, mit und ohne Startpunkt.</t>
  </si>
  <si>
    <t>Gibt die Entfernung zwischen zwei Bezügen aus, Spalte 1 Zeile, Spalte 2 Spalte</t>
  </si>
  <si>
    <t>Gibt alle oder Summe der kKleinste aus</t>
  </si>
  <si>
    <t>Gibt alle oder Summe der kGrösste aus</t>
  </si>
  <si>
    <t>Matrix2Spalte</t>
  </si>
  <si>
    <t>Würfel2Zahl</t>
  </si>
  <si>
    <t>SUMMENPRODUKT</t>
  </si>
  <si>
    <t>Trennt einen Text // Alle X Zeichen // Vorwärts 0, Rückwärts 1 // In Spalten 0, in Zeilen 1</t>
  </si>
  <si>
    <t>Liste2Matrix</t>
  </si>
  <si>
    <t>MatrixRotieren</t>
  </si>
  <si>
    <t>SCAN</t>
  </si>
  <si>
    <t>Lernen</t>
  </si>
  <si>
    <t>Zahl2Text</t>
  </si>
  <si>
    <t>Buchstabenwert</t>
  </si>
  <si>
    <t>ST</t>
  </si>
  <si>
    <t>Karten_FelderZwischen</t>
  </si>
  <si>
    <t>Gibt alle Adressen zwischen 2 Feldern aus</t>
  </si>
  <si>
    <t>iSpalte</t>
  </si>
  <si>
    <t>iZeile</t>
  </si>
  <si>
    <t>Spalte(indirekt())</t>
  </si>
  <si>
    <t>Zeile(indirekt())</t>
  </si>
  <si>
    <t>_TabellePfeile</t>
  </si>
  <si>
    <t>Wandelt Würfel in Zahlenwerte um</t>
  </si>
  <si>
    <t>Schreibt eine Zahl in Deutsch aus</t>
  </si>
  <si>
    <t>Schach</t>
  </si>
  <si>
    <t>Erzeugt eine Tabelle mit Pfeilen und deren Richtung</t>
  </si>
  <si>
    <t>OffsetBuchstaben</t>
  </si>
  <si>
    <t>Q♦</t>
  </si>
  <si>
    <t>Q♥</t>
  </si>
  <si>
    <t>K♠</t>
  </si>
  <si>
    <t>3♣</t>
  </si>
  <si>
    <t>3♠</t>
  </si>
  <si>
    <t>♦</t>
  </si>
  <si>
    <t>♥</t>
  </si>
  <si>
    <t>♠</t>
  </si>
  <si>
    <t>♣</t>
  </si>
  <si>
    <t>Rot</t>
  </si>
  <si>
    <t>Schwarz</t>
  </si>
  <si>
    <t>Karo</t>
  </si>
  <si>
    <t>Herz</t>
  </si>
  <si>
    <t>Pik</t>
  </si>
  <si>
    <t>Kreuz</t>
  </si>
  <si>
    <t>J</t>
  </si>
  <si>
    <t>Q</t>
  </si>
  <si>
    <t>K</t>
  </si>
  <si>
    <t>Sequenz</t>
  </si>
  <si>
    <t>Farbe</t>
  </si>
  <si>
    <t>Karte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</si>
  <si>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</si>
  <si>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</si>
  <si>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</si>
  <si>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</si>
  <si>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</si>
  <si>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</si>
  <si>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</si>
  <si>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</si>
  <si>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</si>
  <si>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Deutsch</t>
  </si>
  <si>
    <t>Englisch</t>
  </si>
  <si>
    <t>ABRUNDEN</t>
  </si>
  <si>
    <t>ROUNDDOWN</t>
  </si>
  <si>
    <t>ABS</t>
  </si>
  <si>
    <t>ABSCHNBEREICH</t>
  </si>
  <si>
    <t>TRIMRANGE</t>
  </si>
  <si>
    <t>ADRESSE</t>
  </si>
  <si>
    <t>ADDRESS</t>
  </si>
  <si>
    <t>AGGREGAT</t>
  </si>
  <si>
    <t>AGGREGATE</t>
  </si>
  <si>
    <t>AMORDEGRK</t>
  </si>
  <si>
    <t>AMORDEGRC</t>
  </si>
  <si>
    <t>AMORLINEARK</t>
  </si>
  <si>
    <t>AMORLINC</t>
  </si>
  <si>
    <t>ANZAHL</t>
  </si>
  <si>
    <t>COUNT</t>
  </si>
  <si>
    <t>ANZAHL2</t>
  </si>
  <si>
    <t>COUNTA</t>
  </si>
  <si>
    <t>ANZAHLLEEREZELLEN</t>
  </si>
  <si>
    <t>COUNTBLANK</t>
  </si>
  <si>
    <t>ARABISCH</t>
  </si>
  <si>
    <t>ARABIC</t>
  </si>
  <si>
    <t>ARBEITSTAG</t>
  </si>
  <si>
    <t>WORKDAY</t>
  </si>
  <si>
    <t>ARBEITSTAG.INTL</t>
  </si>
  <si>
    <t>WORKDAY.INTL</t>
  </si>
  <si>
    <t>ARCCOS</t>
  </si>
  <si>
    <t>ACOS</t>
  </si>
  <si>
    <t>ARCCOSHYP</t>
  </si>
  <si>
    <t>ACOSH</t>
  </si>
  <si>
    <t>ARCCOT</t>
  </si>
  <si>
    <t>ACOT</t>
  </si>
  <si>
    <t>ARCCOTHYP</t>
  </si>
  <si>
    <t>ACOTH</t>
  </si>
  <si>
    <t>ARCSIN</t>
  </si>
  <si>
    <t>ASIN</t>
  </si>
  <si>
    <t>ARCSINHYP</t>
  </si>
  <si>
    <t>ASINH</t>
  </si>
  <si>
    <t>ARCTAN</t>
  </si>
  <si>
    <t>ATAN</t>
  </si>
  <si>
    <t>ARCTAN2</t>
  </si>
  <si>
    <t>ATAN2</t>
  </si>
  <si>
    <t>ARCTANHYP</t>
  </si>
  <si>
    <t>ATANH</t>
  </si>
  <si>
    <t>ASC</t>
  </si>
  <si>
    <t>AUFGELZINS</t>
  </si>
  <si>
    <t>ACCRINT</t>
  </si>
  <si>
    <t>AUFGELZINSF</t>
  </si>
  <si>
    <t>ACCRINTM</t>
  </si>
  <si>
    <t>AUFRUNDEN</t>
  </si>
  <si>
    <t>ROUNDUP</t>
  </si>
  <si>
    <t>AUSZAHLUNG</t>
  </si>
  <si>
    <t>RECEIVED</t>
  </si>
  <si>
    <t>BASIS</t>
  </si>
  <si>
    <t>BASE</t>
  </si>
  <si>
    <t>BEREICH.VERSCHIEBEN</t>
  </si>
  <si>
    <t>OFFSET</t>
  </si>
  <si>
    <t>BEREICHE</t>
  </si>
  <si>
    <t>AREAS</t>
  </si>
  <si>
    <t>BESSELI</t>
  </si>
  <si>
    <t>BESSELJ</t>
  </si>
  <si>
    <t>BESSELK</t>
  </si>
  <si>
    <t>BESSELY</t>
  </si>
  <si>
    <t>BESTIMMTHEITSMASS</t>
  </si>
  <si>
    <t>RSQ</t>
  </si>
  <si>
    <t>BETA.INV</t>
  </si>
  <si>
    <t>BETA.VERT</t>
  </si>
  <si>
    <t>BETA.DIST</t>
  </si>
  <si>
    <t>BETAINV</t>
  </si>
  <si>
    <t>BETAVERT</t>
  </si>
  <si>
    <t>BETADIST</t>
  </si>
  <si>
    <t>BILD</t>
  </si>
  <si>
    <t>IMAGE</t>
  </si>
  <si>
    <t>BININDEZ</t>
  </si>
  <si>
    <t>BIN2DEC</t>
  </si>
  <si>
    <t>BININHEX</t>
  </si>
  <si>
    <t>BIN2HEX</t>
  </si>
  <si>
    <t>BININOKT</t>
  </si>
  <si>
    <t>BIN2OCT</t>
  </si>
  <si>
    <t>BINOM.INV</t>
  </si>
  <si>
    <t>BINOM.VERT</t>
  </si>
  <si>
    <t>BINOM.DIST</t>
  </si>
  <si>
    <t>BINOM.VERT.BEREICH</t>
  </si>
  <si>
    <t>BINOM.DIST.RANGE</t>
  </si>
  <si>
    <t>BINOMVERT</t>
  </si>
  <si>
    <t>BINOMDIST</t>
  </si>
  <si>
    <t>BITLVERSCHIEB</t>
  </si>
  <si>
    <t>BITLSHIFT</t>
  </si>
  <si>
    <t>BITODER</t>
  </si>
  <si>
    <t>BITOR</t>
  </si>
  <si>
    <t>BITRVERSCHIEB</t>
  </si>
  <si>
    <t>BITRSHIFT</t>
  </si>
  <si>
    <t>BITUND</t>
  </si>
  <si>
    <t>BITAND</t>
  </si>
  <si>
    <t>BITXODER</t>
  </si>
  <si>
    <t>BITXOR</t>
  </si>
  <si>
    <t>BLATT</t>
  </si>
  <si>
    <t>SHEET</t>
  </si>
  <si>
    <t>BLÄTTER</t>
  </si>
  <si>
    <t>SHEETS</t>
  </si>
  <si>
    <t>BOGENMASS</t>
  </si>
  <si>
    <t>RADIANS</t>
  </si>
  <si>
    <t>BRTEILJAHRE</t>
  </si>
  <si>
    <t>YEARFRAC</t>
  </si>
  <si>
    <t>BW</t>
  </si>
  <si>
    <t>PV</t>
  </si>
  <si>
    <t>BÖRSENHISTORIE</t>
  </si>
  <si>
    <t>STOCKHISTORY</t>
  </si>
  <si>
    <t>CHIINV</t>
  </si>
  <si>
    <t>CHIQU.INV</t>
  </si>
  <si>
    <t>CHISQ.INV</t>
  </si>
  <si>
    <t>CHIQU.INV.RE</t>
  </si>
  <si>
    <t>CHISQ.INV.RT</t>
  </si>
  <si>
    <t>CHIQU.TEST</t>
  </si>
  <si>
    <t>CHISQ.TEST</t>
  </si>
  <si>
    <t>CHIQU.VERT</t>
  </si>
  <si>
    <t>CHISQ.DIST</t>
  </si>
  <si>
    <t>CHIQU.VERT.RE</t>
  </si>
  <si>
    <t>CHISQ.DIST.RT</t>
  </si>
  <si>
    <t>CHITEST</t>
  </si>
  <si>
    <t>CHIVERT</t>
  </si>
  <si>
    <t>CHIDIST</t>
  </si>
  <si>
    <t>CODE</t>
  </si>
  <si>
    <t>COS</t>
  </si>
  <si>
    <t>COSEC</t>
  </si>
  <si>
    <t>CSC</t>
  </si>
  <si>
    <t>COSECHYP</t>
  </si>
  <si>
    <t>CSCH</t>
  </si>
  <si>
    <t>COSHYP</t>
  </si>
  <si>
    <t>COSH</t>
  </si>
  <si>
    <t>COT</t>
  </si>
  <si>
    <t>COTHYP</t>
  </si>
  <si>
    <t>COTH</t>
  </si>
  <si>
    <t>CUBEELEMENT</t>
  </si>
  <si>
    <t>CUBEMEMBER</t>
  </si>
  <si>
    <t>CUBEELEMENTEIGENSCHAFT</t>
  </si>
  <si>
    <t>CUBEMEMBERPROPERTY</t>
  </si>
  <si>
    <t>CUBEKPIELEMENT</t>
  </si>
  <si>
    <t>CUBEKPIMEMBER</t>
  </si>
  <si>
    <t>CUBEMENGE</t>
  </si>
  <si>
    <t>CUBESET</t>
  </si>
  <si>
    <t>CUBEMENGENANZAHL</t>
  </si>
  <si>
    <t>CUBESETCOUNT</t>
  </si>
  <si>
    <t>CUBERANGELEMENT</t>
  </si>
  <si>
    <t>CUBERANKEDMEMBER</t>
  </si>
  <si>
    <t>CUBEWERT</t>
  </si>
  <si>
    <t>CUBEVALUE</t>
  </si>
  <si>
    <t>DATEDIF</t>
  </si>
  <si>
    <t>DATUM</t>
  </si>
  <si>
    <t>DATE</t>
  </si>
  <si>
    <t>DATWERT</t>
  </si>
  <si>
    <t>DATEVALUE</t>
  </si>
  <si>
    <t>DBANZAHL</t>
  </si>
  <si>
    <t>DCOUNT</t>
  </si>
  <si>
    <t>DBANZAHL2</t>
  </si>
  <si>
    <t>DCOUNTA</t>
  </si>
  <si>
    <t>DBAUSZUG</t>
  </si>
  <si>
    <t>DGET</t>
  </si>
  <si>
    <t>DBMAX</t>
  </si>
  <si>
    <t>DMAX</t>
  </si>
  <si>
    <t>DBMIN</t>
  </si>
  <si>
    <t>DMIN</t>
  </si>
  <si>
    <t>DBMITTELWERT</t>
  </si>
  <si>
    <t>DAVERAGE</t>
  </si>
  <si>
    <t>DBPRODUKT</t>
  </si>
  <si>
    <t>DPRODUCT</t>
  </si>
  <si>
    <t>DBSTDABW</t>
  </si>
  <si>
    <t>DSTDEV</t>
  </si>
  <si>
    <t>DBSTDABWN</t>
  </si>
  <si>
    <t>DSTDEVP</t>
  </si>
  <si>
    <t>DBSUMME</t>
  </si>
  <si>
    <t>DSUM</t>
  </si>
  <si>
    <t>DBVARIANZ</t>
  </si>
  <si>
    <t>DVAR</t>
  </si>
  <si>
    <t>DBVARIANZEN</t>
  </si>
  <si>
    <t>DVARP</t>
  </si>
  <si>
    <t>DELTA</t>
  </si>
  <si>
    <t>DEZIMAL</t>
  </si>
  <si>
    <t>DECIMAL</t>
  </si>
  <si>
    <t>DEZINBIN</t>
  </si>
  <si>
    <t>DEC2BIN</t>
  </si>
  <si>
    <t>DEZINHEX</t>
  </si>
  <si>
    <t>DEC2HEX</t>
  </si>
  <si>
    <t>DEZINOKT</t>
  </si>
  <si>
    <t>DEC2OCT</t>
  </si>
  <si>
    <t>DIA</t>
  </si>
  <si>
    <t>SYD</t>
  </si>
  <si>
    <t>DISAGIO</t>
  </si>
  <si>
    <t>DISC</t>
  </si>
  <si>
    <t>DM</t>
  </si>
  <si>
    <t>DOLLAR</t>
  </si>
  <si>
    <t>DURATION</t>
  </si>
  <si>
    <t>EDATUM</t>
  </si>
  <si>
    <t>EDATE</t>
  </si>
  <si>
    <t>EFFEKTIV</t>
  </si>
  <si>
    <t>EFFECT</t>
  </si>
  <si>
    <t>EINDEUTIG</t>
  </si>
  <si>
    <t>UNIQUE</t>
  </si>
  <si>
    <t>ERSETZEN</t>
  </si>
  <si>
    <t>REPLACE</t>
  </si>
  <si>
    <t>ERSTERWERT</t>
  </si>
  <si>
    <t>SWITCH</t>
  </si>
  <si>
    <t>ERWEITERN</t>
  </si>
  <si>
    <t>EXPAND</t>
  </si>
  <si>
    <t>EXP</t>
  </si>
  <si>
    <t>EXPON.VERT</t>
  </si>
  <si>
    <t>EXPON.DIST</t>
  </si>
  <si>
    <t>EXPONVERT</t>
  </si>
  <si>
    <t>EXPONDIST</t>
  </si>
  <si>
    <t>F.INV</t>
  </si>
  <si>
    <t>F.INV.RE</t>
  </si>
  <si>
    <t>F.INV.RT</t>
  </si>
  <si>
    <t>F.TEST</t>
  </si>
  <si>
    <t>F.VERT</t>
  </si>
  <si>
    <t>F.DIST</t>
  </si>
  <si>
    <t>F.VERT.RE</t>
  </si>
  <si>
    <t>F.DIST.RT</t>
  </si>
  <si>
    <t>FAKULTÄT</t>
  </si>
  <si>
    <t>FACT</t>
  </si>
  <si>
    <t>FALSE</t>
  </si>
  <si>
    <t>FEHLER.TYP</t>
  </si>
  <si>
    <t>ERROR.TYPE</t>
  </si>
  <si>
    <t>FEST</t>
  </si>
  <si>
    <t>FIXED</t>
  </si>
  <si>
    <t>FILTER</t>
  </si>
  <si>
    <t>FIND</t>
  </si>
  <si>
    <t>FINV</t>
  </si>
  <si>
    <t>FISHER</t>
  </si>
  <si>
    <t>FISHERINV</t>
  </si>
  <si>
    <t>FORMELTEXT</t>
  </si>
  <si>
    <t>FORMULATEXT</t>
  </si>
  <si>
    <t>FTEST</t>
  </si>
  <si>
    <t>FVERT</t>
  </si>
  <si>
    <t>FDIST</t>
  </si>
  <si>
    <t>G.TEST</t>
  </si>
  <si>
    <t>Z.TEST</t>
  </si>
  <si>
    <t>GAMMA</t>
  </si>
  <si>
    <t>GAMMA.INV</t>
  </si>
  <si>
    <t>GAMMA.VERT</t>
  </si>
  <si>
    <t>GAMMA.DIST</t>
  </si>
  <si>
    <t>GAMMAINV</t>
  </si>
  <si>
    <t>GAMMALN</t>
  </si>
  <si>
    <t>GAMMALN.GENAU</t>
  </si>
  <si>
    <t>GAMMALN.PRECISE</t>
  </si>
  <si>
    <t>GAMMAVERT</t>
  </si>
  <si>
    <t>GAMMADIST</t>
  </si>
  <si>
    <t>GANZZAHL</t>
  </si>
  <si>
    <t>INT</t>
  </si>
  <si>
    <t>GAUSS</t>
  </si>
  <si>
    <t>GAUSSF.GENAU</t>
  </si>
  <si>
    <t>ERF.PRECISE</t>
  </si>
  <si>
    <t>GAUSSFEHLER</t>
  </si>
  <si>
    <t>ERF</t>
  </si>
  <si>
    <t>GAUSSFKOMPL</t>
  </si>
  <si>
    <t>ERFC</t>
  </si>
  <si>
    <t>GAUSSFKOMPL.GENAU</t>
  </si>
  <si>
    <t>ERFC.PRECISE</t>
  </si>
  <si>
    <t>GDA</t>
  </si>
  <si>
    <t>DDB</t>
  </si>
  <si>
    <t>GDA2</t>
  </si>
  <si>
    <t>DB</t>
  </si>
  <si>
    <t>GEOMITTEL</t>
  </si>
  <si>
    <t>GEOMEAN</t>
  </si>
  <si>
    <t>GERADE</t>
  </si>
  <si>
    <t>EVEN</t>
  </si>
  <si>
    <t>GESTUTZTMITTEL</t>
  </si>
  <si>
    <t>TRIMMEAN</t>
  </si>
  <si>
    <t>GGANZZAHL</t>
  </si>
  <si>
    <t>GESTEP</t>
  </si>
  <si>
    <t>GGT</t>
  </si>
  <si>
    <t>GCD</t>
  </si>
  <si>
    <t>GLÄTTEN</t>
  </si>
  <si>
    <t>TRIM</t>
  </si>
  <si>
    <t>GRAD</t>
  </si>
  <si>
    <t>DEGREES</t>
  </si>
  <si>
    <t>GROSS</t>
  </si>
  <si>
    <t>UPPER</t>
  </si>
  <si>
    <t>PROPER</t>
  </si>
  <si>
    <t>GRUPPIERENNACH</t>
  </si>
  <si>
    <t>GROUPBY</t>
  </si>
  <si>
    <t>GTEST</t>
  </si>
  <si>
    <t>ZTEST</t>
  </si>
  <si>
    <t>HARMITTEL</t>
  </si>
  <si>
    <t>HARMEAN</t>
  </si>
  <si>
    <t>HEUTE</t>
  </si>
  <si>
    <t>TODAY</t>
  </si>
  <si>
    <t>HEXINBIN</t>
  </si>
  <si>
    <t>HEX2BIN</t>
  </si>
  <si>
    <t>HEXINDEZ</t>
  </si>
  <si>
    <t>HEX2DEC</t>
  </si>
  <si>
    <t>HEXINOKT</t>
  </si>
  <si>
    <t>HEX2OCT</t>
  </si>
  <si>
    <t>HSTACK</t>
  </si>
  <si>
    <t>HYPERLINK</t>
  </si>
  <si>
    <t>HYPGEOM.VERT</t>
  </si>
  <si>
    <t>HYPGEOM.DIST</t>
  </si>
  <si>
    <t>HYPGEOMVERT</t>
  </si>
  <si>
    <t>HYPGEOMDIST</t>
  </si>
  <si>
    <t>HÄUFIGKEIT</t>
  </si>
  <si>
    <t>FREQUENCY</t>
  </si>
  <si>
    <t>IDENTISCH</t>
  </si>
  <si>
    <t>EXACT</t>
  </si>
  <si>
    <t>IKV</t>
  </si>
  <si>
    <t>IRR</t>
  </si>
  <si>
    <t>IMABS</t>
  </si>
  <si>
    <t>IMAGINÄRTEIL</t>
  </si>
  <si>
    <t>IMAGINARY</t>
  </si>
  <si>
    <t>IMAPOTENZ</t>
  </si>
  <si>
    <t>IMPOWER</t>
  </si>
  <si>
    <t>IMARGUMENT</t>
  </si>
  <si>
    <t>IMCOS</t>
  </si>
  <si>
    <t>IMCOSEC</t>
  </si>
  <si>
    <t>IMCSC</t>
  </si>
  <si>
    <t>IMCOSECHYP</t>
  </si>
  <si>
    <t>IMCSCH</t>
  </si>
  <si>
    <t>IMCOSHYP</t>
  </si>
  <si>
    <t>IMCOSH</t>
  </si>
  <si>
    <t>IMCOT</t>
  </si>
  <si>
    <t>IMDIV</t>
  </si>
  <si>
    <t>IMEXP</t>
  </si>
  <si>
    <t>IMKONJUGIERTE</t>
  </si>
  <si>
    <t>IMCONJUGATE</t>
  </si>
  <si>
    <t>IMLN</t>
  </si>
  <si>
    <t>IMLOG10</t>
  </si>
  <si>
    <t>IMLOG2</t>
  </si>
  <si>
    <t>IMPRODUKT</t>
  </si>
  <si>
    <t>IMPRODUCT</t>
  </si>
  <si>
    <t>IMREALTEIL</t>
  </si>
  <si>
    <t>IMREAL</t>
  </si>
  <si>
    <t>IMSEC</t>
  </si>
  <si>
    <t>IMSECHYP</t>
  </si>
  <si>
    <t>IMSECH</t>
  </si>
  <si>
    <t>IMSIN</t>
  </si>
  <si>
    <t>IMSINHYP</t>
  </si>
  <si>
    <t>IMSINH</t>
  </si>
  <si>
    <t>IMSUB</t>
  </si>
  <si>
    <t>IMSUMME</t>
  </si>
  <si>
    <t>IMSUM</t>
  </si>
  <si>
    <t>IMTAN</t>
  </si>
  <si>
    <t>IMWURZEL</t>
  </si>
  <si>
    <t>IMSQRT</t>
  </si>
  <si>
    <t>INDEX</t>
  </si>
  <si>
    <t>INDIREKT</t>
  </si>
  <si>
    <t>INDIRECT</t>
  </si>
  <si>
    <t>INFO</t>
  </si>
  <si>
    <t>ISO.OBERGRENZE</t>
  </si>
  <si>
    <t>ISO.CEILING</t>
  </si>
  <si>
    <t>ISOKALENDERWOCHE</t>
  </si>
  <si>
    <t>ISOWEEKNUM</t>
  </si>
  <si>
    <t>ISPMT</t>
  </si>
  <si>
    <t>ISTBEZUG</t>
  </si>
  <si>
    <t>ISREF</t>
  </si>
  <si>
    <t>ISTFEHL</t>
  </si>
  <si>
    <t>ISERR</t>
  </si>
  <si>
    <t>ISTFEHLER</t>
  </si>
  <si>
    <t>ISERROR</t>
  </si>
  <si>
    <t>ISTFORMEL</t>
  </si>
  <si>
    <t>ISFORMULA</t>
  </si>
  <si>
    <t>ISTGERADE</t>
  </si>
  <si>
    <t>ISEVEN</t>
  </si>
  <si>
    <t>ISTKTEXT</t>
  </si>
  <si>
    <t>ISNONTEXT</t>
  </si>
  <si>
    <t>ISTLEER</t>
  </si>
  <si>
    <t>ISBLANK</t>
  </si>
  <si>
    <t>ISTLOG</t>
  </si>
  <si>
    <t>ISLOGICAL</t>
  </si>
  <si>
    <t>ISTNV</t>
  </si>
  <si>
    <t>ISNA</t>
  </si>
  <si>
    <t>ISTTEXT</t>
  </si>
  <si>
    <t>ISTEXT</t>
  </si>
  <si>
    <t>ISTUNGERADE</t>
  </si>
  <si>
    <t>ISODD</t>
  </si>
  <si>
    <t>ISTZAHL</t>
  </si>
  <si>
    <t>ISNUMBER</t>
  </si>
  <si>
    <t>JAHR</t>
  </si>
  <si>
    <t>YEAR</t>
  </si>
  <si>
    <t>JETZT</t>
  </si>
  <si>
    <t>NOW</t>
  </si>
  <si>
    <t>JIS</t>
  </si>
  <si>
    <t>KALENDERWOCHE</t>
  </si>
  <si>
    <t>WEEKNUM</t>
  </si>
  <si>
    <t>KAPZ</t>
  </si>
  <si>
    <t>PPMT</t>
  </si>
  <si>
    <t>KGRÖSSTE</t>
  </si>
  <si>
    <t>LARGE</t>
  </si>
  <si>
    <t>KGV</t>
  </si>
  <si>
    <t>LCM</t>
  </si>
  <si>
    <t>KKLEINSTE</t>
  </si>
  <si>
    <t>SMALL</t>
  </si>
  <si>
    <t>KLEIN</t>
  </si>
  <si>
    <t>LOWER</t>
  </si>
  <si>
    <t>KOMBINATIONEN</t>
  </si>
  <si>
    <t>COMBIN</t>
  </si>
  <si>
    <t>KOMBINATIONEN2</t>
  </si>
  <si>
    <t>COMBINA</t>
  </si>
  <si>
    <t>KOMPLEXE</t>
  </si>
  <si>
    <t>COMPLEX</t>
  </si>
  <si>
    <t>KONFIDENZ</t>
  </si>
  <si>
    <t>CONFIDENCE</t>
  </si>
  <si>
    <t>KONFIDENZ.NORM</t>
  </si>
  <si>
    <t>CONFIDENCE.NORM</t>
  </si>
  <si>
    <t>KONFIDENZ.T</t>
  </si>
  <si>
    <t>CONFIDENCE.T</t>
  </si>
  <si>
    <t>KORREL</t>
  </si>
  <si>
    <t>CORREL</t>
  </si>
  <si>
    <t>KOVAR</t>
  </si>
  <si>
    <t>COVAR</t>
  </si>
  <si>
    <t>KOVARIANZ.P</t>
  </si>
  <si>
    <t>COVARIANCE.P</t>
  </si>
  <si>
    <t>KOVARIANZ.S</t>
  </si>
  <si>
    <t>COVARIANCE.S</t>
  </si>
  <si>
    <t>KRITBINOM</t>
  </si>
  <si>
    <t>CRITBINOM</t>
  </si>
  <si>
    <t>KUMKAPITAL</t>
  </si>
  <si>
    <t>CUMPRINC</t>
  </si>
  <si>
    <t>KUMZINSZ</t>
  </si>
  <si>
    <t>CUMIPMT</t>
  </si>
  <si>
    <t>KURS</t>
  </si>
  <si>
    <t>PRICE</t>
  </si>
  <si>
    <t>KURSDISAGIO</t>
  </si>
  <si>
    <t>PRICEDISC</t>
  </si>
  <si>
    <t>KURSFÄLLIG</t>
  </si>
  <si>
    <t>PRICEMAT</t>
  </si>
  <si>
    <t>KURT</t>
  </si>
  <si>
    <t>KÜRZEN</t>
  </si>
  <si>
    <t>TRUNC</t>
  </si>
  <si>
    <t>LAMBDA</t>
  </si>
  <si>
    <t>LET</t>
  </si>
  <si>
    <t>LIA</t>
  </si>
  <si>
    <t>SLN</t>
  </si>
  <si>
    <t>LINKS</t>
  </si>
  <si>
    <t>LEFT</t>
  </si>
  <si>
    <t>LN</t>
  </si>
  <si>
    <t>LOG</t>
  </si>
  <si>
    <t>LOG10</t>
  </si>
  <si>
    <t>LOGINV</t>
  </si>
  <si>
    <t>LOGNORM.INV</t>
  </si>
  <si>
    <t>LOGNORM.VERT</t>
  </si>
  <si>
    <t>LOGNORM.DIST</t>
  </si>
  <si>
    <t>LOGNORMVERT</t>
  </si>
  <si>
    <t>LOGNORMDIST</t>
  </si>
  <si>
    <t>LÄNGE</t>
  </si>
  <si>
    <t>LEN</t>
  </si>
  <si>
    <t>MAP</t>
  </si>
  <si>
    <t>MATRIXERSTELLEN</t>
  </si>
  <si>
    <t>MAKEARRAY</t>
  </si>
  <si>
    <t>MATRIXZUTEXT</t>
  </si>
  <si>
    <t>ARRAYTOTEXT</t>
  </si>
  <si>
    <t>MAX</t>
  </si>
  <si>
    <t>MAXA</t>
  </si>
  <si>
    <t>MAXWENNS</t>
  </si>
  <si>
    <t>MAXIFS</t>
  </si>
  <si>
    <t>MDET</t>
  </si>
  <si>
    <t>MDETERM</t>
  </si>
  <si>
    <t>MDURATION</t>
  </si>
  <si>
    <t>MEDIAN</t>
  </si>
  <si>
    <t>MEINHEIT</t>
  </si>
  <si>
    <t>MUNIT</t>
  </si>
  <si>
    <t>MIN</t>
  </si>
  <si>
    <t>MINA</t>
  </si>
  <si>
    <t>MINUTE</t>
  </si>
  <si>
    <t>MINV</t>
  </si>
  <si>
    <t>MINVERSE</t>
  </si>
  <si>
    <t>MINWENNS</t>
  </si>
  <si>
    <t>MINIFS</t>
  </si>
  <si>
    <t>MITTELABW</t>
  </si>
  <si>
    <t>AVEDEV</t>
  </si>
  <si>
    <t>MITTELWERT</t>
  </si>
  <si>
    <t>AVERAGE</t>
  </si>
  <si>
    <t>MITTELWERTA</t>
  </si>
  <si>
    <t>AVERAGEA</t>
  </si>
  <si>
    <t>MITTELWERTWENN</t>
  </si>
  <si>
    <t>AVERAGEIF</t>
  </si>
  <si>
    <t>MITTELWERTWENNS</t>
  </si>
  <si>
    <t>AVERAGEIFS</t>
  </si>
  <si>
    <t>MMULT</t>
  </si>
  <si>
    <t>MODALWERT</t>
  </si>
  <si>
    <t>MODE</t>
  </si>
  <si>
    <t>MODUS.EINF</t>
  </si>
  <si>
    <t>MODE.SNGL</t>
  </si>
  <si>
    <t>MODUS.VIELF</t>
  </si>
  <si>
    <t>MODE.MULT</t>
  </si>
  <si>
    <t>MONAT</t>
  </si>
  <si>
    <t>MONTH</t>
  </si>
  <si>
    <t>MONATSENDE</t>
  </si>
  <si>
    <t>EOMONTH</t>
  </si>
  <si>
    <t>MTRANS</t>
  </si>
  <si>
    <t>TRANSPOSE</t>
  </si>
  <si>
    <t>N</t>
  </si>
  <si>
    <t>NACHSPALTE</t>
  </si>
  <si>
    <t>BYCOL</t>
  </si>
  <si>
    <t>NACHZEILE</t>
  </si>
  <si>
    <t>BYROW</t>
  </si>
  <si>
    <t>NBW</t>
  </si>
  <si>
    <t>NPV</t>
  </si>
  <si>
    <t>NEGBINOM.VERT</t>
  </si>
  <si>
    <t>NEGBINOM.DIST</t>
  </si>
  <si>
    <t>NEGBINOMVERT</t>
  </si>
  <si>
    <t>NEGBINOMDIST</t>
  </si>
  <si>
    <t>NETTOARBEITSTAGE</t>
  </si>
  <si>
    <t>NETWORKDAYS</t>
  </si>
  <si>
    <t>NETTOARBEITSTAGE.INTL</t>
  </si>
  <si>
    <t>NETWORKDAYS.INTL</t>
  </si>
  <si>
    <t>NICHT</t>
  </si>
  <si>
    <t>NOT</t>
  </si>
  <si>
    <t>NOMINAL</t>
  </si>
  <si>
    <t>NORM.INV</t>
  </si>
  <si>
    <t>NORM.S.INV</t>
  </si>
  <si>
    <t>NORM.S.VERT</t>
  </si>
  <si>
    <t>NORM.S.DIST</t>
  </si>
  <si>
    <t>NORM.VERT</t>
  </si>
  <si>
    <t>NORM.DIST</t>
  </si>
  <si>
    <t>NORMINV</t>
  </si>
  <si>
    <t>NORMVERT</t>
  </si>
  <si>
    <t>NORMDIST</t>
  </si>
  <si>
    <t>NOTIERUNGBRU</t>
  </si>
  <si>
    <t>DOLLARFR</t>
  </si>
  <si>
    <t>NOTIERUNGDEZ</t>
  </si>
  <si>
    <t>DOLLARDE</t>
  </si>
  <si>
    <t>NV</t>
  </si>
  <si>
    <t>NA</t>
  </si>
  <si>
    <t>OBERGRENZE</t>
  </si>
  <si>
    <t>CEILING</t>
  </si>
  <si>
    <t>OBERGRENZE.GENAU</t>
  </si>
  <si>
    <t>CEILING.PRECISE</t>
  </si>
  <si>
    <t>OBERGRENZE.MATHEMATIK</t>
  </si>
  <si>
    <t>CEILING.MATH</t>
  </si>
  <si>
    <t>ODER</t>
  </si>
  <si>
    <t>OR</t>
  </si>
  <si>
    <t>OKTINBIN</t>
  </si>
  <si>
    <t>OCT2BIN</t>
  </si>
  <si>
    <t>OKTINDEZ</t>
  </si>
  <si>
    <t>OCT2DEC</t>
  </si>
  <si>
    <t>OKTINHEX</t>
  </si>
  <si>
    <t>OCT2HEX</t>
  </si>
  <si>
    <t>PDURATION</t>
  </si>
  <si>
    <t>PEARSON</t>
  </si>
  <si>
    <t>PHI</t>
  </si>
  <si>
    <t>PHONETIC</t>
  </si>
  <si>
    <t>PI</t>
  </si>
  <si>
    <t>PIVOTDATENZUORDNEN</t>
  </si>
  <si>
    <t>GETPIVOTDATA</t>
  </si>
  <si>
    <t>PIVOTMIT</t>
  </si>
  <si>
    <t>PIVOTBY</t>
  </si>
  <si>
    <t>POISSON</t>
  </si>
  <si>
    <t>POISSON.VERT</t>
  </si>
  <si>
    <t>POISSON.DIST</t>
  </si>
  <si>
    <t>POLYNOMIAL</t>
  </si>
  <si>
    <t>MULTINOMIAL</t>
  </si>
  <si>
    <t>POTENZ</t>
  </si>
  <si>
    <t>POWER</t>
  </si>
  <si>
    <t>POTENZREIHE</t>
  </si>
  <si>
    <t>SERIESSUM</t>
  </si>
  <si>
    <t>PRODUKT</t>
  </si>
  <si>
    <t>PRODUCT</t>
  </si>
  <si>
    <t>PROGNOSE.ETS</t>
  </si>
  <si>
    <t>FORECAST.ETS</t>
  </si>
  <si>
    <t>PROGNOSE.ETS.KONFINT</t>
  </si>
  <si>
    <t>FORECAST.ETS.CONFINT</t>
  </si>
  <si>
    <t>PROGNOSE.ETS.SAISONALITÄT</t>
  </si>
  <si>
    <t>FORECAST.ETS.SEASONALITY</t>
  </si>
  <si>
    <t>PROGNOSE.ETS.STAT</t>
  </si>
  <si>
    <t>FORECAST.ETS.STAT</t>
  </si>
  <si>
    <t>PROGNOSE.LINEAR</t>
  </si>
  <si>
    <t>FORECAST.LINEAR</t>
  </si>
  <si>
    <t>PROZENTVON</t>
  </si>
  <si>
    <t>PERCENTOF</t>
  </si>
  <si>
    <t>QIKV</t>
  </si>
  <si>
    <t>MIRR</t>
  </si>
  <si>
    <t>QUADRATESUMME</t>
  </si>
  <si>
    <t>SUMSQ</t>
  </si>
  <si>
    <t>QUANTIL</t>
  </si>
  <si>
    <t>PERCENTILE</t>
  </si>
  <si>
    <t>QUANTIL.EXKL</t>
  </si>
  <si>
    <t>PERCENTILE.EXC</t>
  </si>
  <si>
    <t>QUANTIL.INKL</t>
  </si>
  <si>
    <t>PERCENTILE.INC</t>
  </si>
  <si>
    <t>QUANTILSRANG</t>
  </si>
  <si>
    <t>PERCENTRANK</t>
  </si>
  <si>
    <t>QUANTILSRANG.EXKL</t>
  </si>
  <si>
    <t>PERCENTRANK.EXC</t>
  </si>
  <si>
    <t>QUANTILSRANG.INKL</t>
  </si>
  <si>
    <t>PERCENTRANK.INC</t>
  </si>
  <si>
    <t>QUARTILE</t>
  </si>
  <si>
    <t>QUARTILE.EXKL</t>
  </si>
  <si>
    <t>QUARTILE.EXC</t>
  </si>
  <si>
    <t>QUARTILE.INKL</t>
  </si>
  <si>
    <t>QUARTILE.INC</t>
  </si>
  <si>
    <t>QUOTIENT</t>
  </si>
  <si>
    <t>RANG</t>
  </si>
  <si>
    <t>RANK</t>
  </si>
  <si>
    <t>RANG.MITTELW</t>
  </si>
  <si>
    <t>RANK.AVG</t>
  </si>
  <si>
    <t>RECHTS</t>
  </si>
  <si>
    <t>RIGHT</t>
  </si>
  <si>
    <t>REDUCE</t>
  </si>
  <si>
    <t>REGEXERSETZEN</t>
  </si>
  <si>
    <t>REGEXREPLACE</t>
  </si>
  <si>
    <t>REGEXEXTRAHIEREN</t>
  </si>
  <si>
    <t>REGEXEXTRACT</t>
  </si>
  <si>
    <t>REGEXTESTEN</t>
  </si>
  <si>
    <t>REGEXTEST</t>
  </si>
  <si>
    <t>RENDITE</t>
  </si>
  <si>
    <t>YIELD</t>
  </si>
  <si>
    <t>RENDITEDIS</t>
  </si>
  <si>
    <t>YIELDDISC</t>
  </si>
  <si>
    <t>RENDITEFÄLL</t>
  </si>
  <si>
    <t>YIELDMAT</t>
  </si>
  <si>
    <t>REST</t>
  </si>
  <si>
    <t>MOD</t>
  </si>
  <si>
    <t>RGP</t>
  </si>
  <si>
    <t>LINEST</t>
  </si>
  <si>
    <t>RKP</t>
  </si>
  <si>
    <t>LOGEST</t>
  </si>
  <si>
    <t>RMZ</t>
  </si>
  <si>
    <t>PMT</t>
  </si>
  <si>
    <t>RTD</t>
  </si>
  <si>
    <t>RUNDEN</t>
  </si>
  <si>
    <t>ROUND</t>
  </si>
  <si>
    <t>RÖMISCH</t>
  </si>
  <si>
    <t>ROMAN</t>
  </si>
  <si>
    <t>SCHIEFE</t>
  </si>
  <si>
    <t>SKEW</t>
  </si>
  <si>
    <t>SCHIEFE.P</t>
  </si>
  <si>
    <t>SKEW.P</t>
  </si>
  <si>
    <t>SCHÄTZER</t>
  </si>
  <si>
    <t>FORECAST</t>
  </si>
  <si>
    <t>SEC</t>
  </si>
  <si>
    <t>SECHYP</t>
  </si>
  <si>
    <t>SECH</t>
  </si>
  <si>
    <t>SEKUNDE</t>
  </si>
  <si>
    <t>SECOND</t>
  </si>
  <si>
    <t>SEQUENZ</t>
  </si>
  <si>
    <t>SEQUENCE</t>
  </si>
  <si>
    <t>SIN</t>
  </si>
  <si>
    <t>SINHYP</t>
  </si>
  <si>
    <t>SINH</t>
  </si>
  <si>
    <t>SORTIEREN</t>
  </si>
  <si>
    <t>SORT</t>
  </si>
  <si>
    <t>SORTIERENNACH</t>
  </si>
  <si>
    <t>SORTBY</t>
  </si>
  <si>
    <t>SPALTE</t>
  </si>
  <si>
    <t>COLUMN</t>
  </si>
  <si>
    <t>SPALTEN</t>
  </si>
  <si>
    <t>COLUMNS</t>
  </si>
  <si>
    <t>SPALTENUMBRUCH</t>
  </si>
  <si>
    <t>WRAPCOLS</t>
  </si>
  <si>
    <t>SPALTENWAHL</t>
  </si>
  <si>
    <t>CHOOSECOLS</t>
  </si>
  <si>
    <t>SPRACHEERKENNEN</t>
  </si>
  <si>
    <t>DETECTLANGUAGE</t>
  </si>
  <si>
    <t>STABW</t>
  </si>
  <si>
    <t>STDEV</t>
  </si>
  <si>
    <t>STABW.N</t>
  </si>
  <si>
    <t>STDEV.P</t>
  </si>
  <si>
    <t>STABW.S</t>
  </si>
  <si>
    <t>STDEV.S</t>
  </si>
  <si>
    <t>STABWN</t>
  </si>
  <si>
    <t>STDEVP</t>
  </si>
  <si>
    <t>STANDARDISIERUNG</t>
  </si>
  <si>
    <t>STANDARDIZE</t>
  </si>
  <si>
    <t>STANDNORMINV</t>
  </si>
  <si>
    <t>NORMSINV</t>
  </si>
  <si>
    <t>STANDNORMVERT</t>
  </si>
  <si>
    <t>NORMSDIST</t>
  </si>
  <si>
    <t>STEIGUNG</t>
  </si>
  <si>
    <t>SLOPE</t>
  </si>
  <si>
    <t>STFEHLERYX</t>
  </si>
  <si>
    <t>STEYX</t>
  </si>
  <si>
    <t>STUNDE</t>
  </si>
  <si>
    <t>HOUR</t>
  </si>
  <si>
    <t>SUCHEN</t>
  </si>
  <si>
    <t>SEARCH</t>
  </si>
  <si>
    <t>SUMME</t>
  </si>
  <si>
    <t>SUM</t>
  </si>
  <si>
    <t>SUMPRODUCT</t>
  </si>
  <si>
    <t>SUMMEWENN</t>
  </si>
  <si>
    <t>SUMIF</t>
  </si>
  <si>
    <t>SUMMEWENNS</t>
  </si>
  <si>
    <t>SUMIFS</t>
  </si>
  <si>
    <t>SUMMEX2MY2</t>
  </si>
  <si>
    <t>SUMX2MY2</t>
  </si>
  <si>
    <t>SUMMEX2PY2</t>
  </si>
  <si>
    <t>SUMX2PY2</t>
  </si>
  <si>
    <t>SUMMEXMY2</t>
  </si>
  <si>
    <t>SUMXMY2</t>
  </si>
  <si>
    <t>SUMQUADABW</t>
  </si>
  <si>
    <t>DEVSQ</t>
  </si>
  <si>
    <t>SVERWEIS</t>
  </si>
  <si>
    <t>VLOOKUP</t>
  </si>
  <si>
    <t>SÄUBERN</t>
  </si>
  <si>
    <t>CLEAN</t>
  </si>
  <si>
    <t>T.INV</t>
  </si>
  <si>
    <t>T.INV.2S</t>
  </si>
  <si>
    <t>T.INV.2T</t>
  </si>
  <si>
    <t>T.TEST</t>
  </si>
  <si>
    <t>T.VERT</t>
  </si>
  <si>
    <t>T.DIST</t>
  </si>
  <si>
    <t>T.VERT.2S</t>
  </si>
  <si>
    <t>T.DIST.2T</t>
  </si>
  <si>
    <t>T.VERT.RE</t>
  </si>
  <si>
    <t>T.DIST.RT</t>
  </si>
  <si>
    <t>TAG</t>
  </si>
  <si>
    <t>DAY</t>
  </si>
  <si>
    <t>TAGE</t>
  </si>
  <si>
    <t>DAYS</t>
  </si>
  <si>
    <t>TAGE360</t>
  </si>
  <si>
    <t>DAYS360</t>
  </si>
  <si>
    <t>TAN</t>
  </si>
  <si>
    <t>TANHYP</t>
  </si>
  <si>
    <t>TANH</t>
  </si>
  <si>
    <t>TBILLKURS</t>
  </si>
  <si>
    <t>TBILLPRICE</t>
  </si>
  <si>
    <t>TBILLRENDITE</t>
  </si>
  <si>
    <t>TBILLYIELD</t>
  </si>
  <si>
    <t>TBILLÄQUIV</t>
  </si>
  <si>
    <t>TBILLEQ</t>
  </si>
  <si>
    <t>TEIL</t>
  </si>
  <si>
    <t>MID</t>
  </si>
  <si>
    <t>TEILERGEBNIS</t>
  </si>
  <si>
    <t>SUBTOTAL</t>
  </si>
  <si>
    <t>TEXT</t>
  </si>
  <si>
    <t>TEXTKETTE</t>
  </si>
  <si>
    <t>CONCAT</t>
  </si>
  <si>
    <t>TEXTNACH</t>
  </si>
  <si>
    <t>TEXTAFTER</t>
  </si>
  <si>
    <t>TEXTTEILEN</t>
  </si>
  <si>
    <t>TEXTSPLIT</t>
  </si>
  <si>
    <t>TEXTVERKETTEN</t>
  </si>
  <si>
    <t>TEXTJOIN</t>
  </si>
  <si>
    <t>TEXTVOR</t>
  </si>
  <si>
    <t>TEXTBEFORE</t>
  </si>
  <si>
    <t>TINV</t>
  </si>
  <si>
    <t>TREND</t>
  </si>
  <si>
    <t>TTEST</t>
  </si>
  <si>
    <t>TVERT</t>
  </si>
  <si>
    <t>TDIST</t>
  </si>
  <si>
    <t>TYP</t>
  </si>
  <si>
    <t>TYPE</t>
  </si>
  <si>
    <t>UMWANDELN</t>
  </si>
  <si>
    <t>CONVERT</t>
  </si>
  <si>
    <t>UND</t>
  </si>
  <si>
    <t>AND</t>
  </si>
  <si>
    <t>UNGERADE</t>
  </si>
  <si>
    <t>ODD</t>
  </si>
  <si>
    <t>UNICODE</t>
  </si>
  <si>
    <t>UNIZEICHEN</t>
  </si>
  <si>
    <t>UNICHAR</t>
  </si>
  <si>
    <t>UNREGER.KURS</t>
  </si>
  <si>
    <t>ODDFPRICE</t>
  </si>
  <si>
    <t>UNREGER.REND</t>
  </si>
  <si>
    <t>ODDFYIELD</t>
  </si>
  <si>
    <t>UNREGLE.KURS</t>
  </si>
  <si>
    <t>ODDLPRICE</t>
  </si>
  <si>
    <t>UNREGLE.REND</t>
  </si>
  <si>
    <t>ODDLYIELD</t>
  </si>
  <si>
    <t>UNTERGRENZE</t>
  </si>
  <si>
    <t>FLOOR</t>
  </si>
  <si>
    <t>UNTERGRENZE.GENAU</t>
  </si>
  <si>
    <t>FLOOR.PRECISE</t>
  </si>
  <si>
    <t>UNTERGRENZE.MATHEMATIK</t>
  </si>
  <si>
    <t>FLOOR.MATH</t>
  </si>
  <si>
    <t>URLCODIEREN</t>
  </si>
  <si>
    <t>ENCODEURL</t>
  </si>
  <si>
    <t>VAR.P</t>
  </si>
  <si>
    <t>VAR.S</t>
  </si>
  <si>
    <t>VARIANZ</t>
  </si>
  <si>
    <t>VAR</t>
  </si>
  <si>
    <t>VARIANZA</t>
  </si>
  <si>
    <t>VARA</t>
  </si>
  <si>
    <t>VARIANZEN</t>
  </si>
  <si>
    <t>VARP</t>
  </si>
  <si>
    <t>VARIANZENA</t>
  </si>
  <si>
    <t>VARPA</t>
  </si>
  <si>
    <t>VARIATION</t>
  </si>
  <si>
    <t>GROWTH</t>
  </si>
  <si>
    <t>VARIATIONEN</t>
  </si>
  <si>
    <t>PERMUT</t>
  </si>
  <si>
    <t>VARIATIONEN2</t>
  </si>
  <si>
    <t>PERMUTATIONA</t>
  </si>
  <si>
    <t>VDB</t>
  </si>
  <si>
    <t>MATCH</t>
  </si>
  <si>
    <t>VERKETTEN</t>
  </si>
  <si>
    <t>CONCATENATE</t>
  </si>
  <si>
    <t>VERWEIS</t>
  </si>
  <si>
    <t>LOOKUP</t>
  </si>
  <si>
    <t>VORZEICHEN</t>
  </si>
  <si>
    <t>SIGN</t>
  </si>
  <si>
    <t>VRUNDEN</t>
  </si>
  <si>
    <t>MROUND</t>
  </si>
  <si>
    <t>VSTACK</t>
  </si>
  <si>
    <t>WAHL</t>
  </si>
  <si>
    <t>CHOOSE</t>
  </si>
  <si>
    <t>TRUE</t>
  </si>
  <si>
    <t>WAHRSCHBEREICH</t>
  </si>
  <si>
    <t>PROB</t>
  </si>
  <si>
    <t>WEBDIENST</t>
  </si>
  <si>
    <t>WEBSERVICE</t>
  </si>
  <si>
    <t>WECHSELN</t>
  </si>
  <si>
    <t>SUBSTITUTE</t>
  </si>
  <si>
    <t>WEGLASSEN</t>
  </si>
  <si>
    <t>DROP</t>
  </si>
  <si>
    <t>WEIBULL</t>
  </si>
  <si>
    <t>WEIBULL.VERT</t>
  </si>
  <si>
    <t>WEIBULL.DIST</t>
  </si>
  <si>
    <t>WENN</t>
  </si>
  <si>
    <t>IF</t>
  </si>
  <si>
    <t>WENNFEHLER</t>
  </si>
  <si>
    <t>IFERROR</t>
  </si>
  <si>
    <t>WENNNV</t>
  </si>
  <si>
    <t>IFNA</t>
  </si>
  <si>
    <t>WENNS</t>
  </si>
  <si>
    <t>IFS</t>
  </si>
  <si>
    <t>WERT</t>
  </si>
  <si>
    <t>VALUE</t>
  </si>
  <si>
    <t>WERTZUTEXT</t>
  </si>
  <si>
    <t>VALUETOTEXT</t>
  </si>
  <si>
    <t>WIEDERHOLEN</t>
  </si>
  <si>
    <t>REPT</t>
  </si>
  <si>
    <t>WOCHENTAG</t>
  </si>
  <si>
    <t>WEEKDAY</t>
  </si>
  <si>
    <t>WURDEAUSGELASSEN</t>
  </si>
  <si>
    <t>ISOMITTED</t>
  </si>
  <si>
    <t>WURZEL</t>
  </si>
  <si>
    <t>SQRT</t>
  </si>
  <si>
    <t>WURZELPI</t>
  </si>
  <si>
    <t>SQRTPI</t>
  </si>
  <si>
    <t>WVERWEIS</t>
  </si>
  <si>
    <t>HLOOKUP</t>
  </si>
  <si>
    <t>XINTZINSFUSS</t>
  </si>
  <si>
    <t>XIRR</t>
  </si>
  <si>
    <t>XKAPITALWERT</t>
  </si>
  <si>
    <t>XNPV</t>
  </si>
  <si>
    <t>XMLFILTERN</t>
  </si>
  <si>
    <t>FILTERXML</t>
  </si>
  <si>
    <t>XODER</t>
  </si>
  <si>
    <t>XOR</t>
  </si>
  <si>
    <t>XVERGLEICH</t>
  </si>
  <si>
    <t>XMATCH</t>
  </si>
  <si>
    <t>XVERWEIS</t>
  </si>
  <si>
    <t>XLOOKUP</t>
  </si>
  <si>
    <t>ZAHLENWERT</t>
  </si>
  <si>
    <t>NUMBERVALUE</t>
  </si>
  <si>
    <t>ZEICHEN</t>
  </si>
  <si>
    <t>CHAR</t>
  </si>
  <si>
    <t>ZEILE</t>
  </si>
  <si>
    <t>ROW</t>
  </si>
  <si>
    <t>ZEILEN</t>
  </si>
  <si>
    <t>ROWS</t>
  </si>
  <si>
    <t>ZEILENUMBRUCH</t>
  </si>
  <si>
    <t>WRAPROWS</t>
  </si>
  <si>
    <t>ZEILENWAHL</t>
  </si>
  <si>
    <t>CHOOSEROWS</t>
  </si>
  <si>
    <t>ZEIT</t>
  </si>
  <si>
    <t>TIME</t>
  </si>
  <si>
    <t>ZEITWERT</t>
  </si>
  <si>
    <t>TIMEVALUE</t>
  </si>
  <si>
    <t>ZELLE</t>
  </si>
  <si>
    <t>CELL</t>
  </si>
  <si>
    <t>ZINS</t>
  </si>
  <si>
    <t>RATE</t>
  </si>
  <si>
    <t>ZINSSATZ</t>
  </si>
  <si>
    <t>INTRATE</t>
  </si>
  <si>
    <t>ZINSTERMNZ</t>
  </si>
  <si>
    <t>COUPNCD</t>
  </si>
  <si>
    <t>ZINSTERMTAGE</t>
  </si>
  <si>
    <t>COUPDAYS</t>
  </si>
  <si>
    <t>ZINSTERMTAGNZ</t>
  </si>
  <si>
    <t>COUPDAYSNC</t>
  </si>
  <si>
    <t>ZINSTERMTAGVA</t>
  </si>
  <si>
    <t>COUPDAYBS</t>
  </si>
  <si>
    <t>ZINSTERMVZ</t>
  </si>
  <si>
    <t>COUPPCD</t>
  </si>
  <si>
    <t>ZINSTERMZAHL</t>
  </si>
  <si>
    <t>COUPNUM</t>
  </si>
  <si>
    <t>ZINSZ</t>
  </si>
  <si>
    <t>IPMT</t>
  </si>
  <si>
    <t>ZSATZINVEST</t>
  </si>
  <si>
    <t>RRI</t>
  </si>
  <si>
    <t>ZUFALLSBEREICH</t>
  </si>
  <si>
    <t>RANDBETWEEN</t>
  </si>
  <si>
    <t>ZUFALLSMATRIX</t>
  </si>
  <si>
    <t>RANDARRAY</t>
  </si>
  <si>
    <t>ZUFALLSZAHL</t>
  </si>
  <si>
    <t>RAND</t>
  </si>
  <si>
    <t>ZUSPALTE</t>
  </si>
  <si>
    <t>TOCOL</t>
  </si>
  <si>
    <t>ZUZEILE</t>
  </si>
  <si>
    <t>TOROW</t>
  </si>
  <si>
    <t>ZW</t>
  </si>
  <si>
    <t>FV</t>
  </si>
  <si>
    <t>ZW2</t>
  </si>
  <si>
    <t>FVSCHEDULE</t>
  </si>
  <si>
    <t>ZWEIFAKULTÄT</t>
  </si>
  <si>
    <t>FACTDOUBLE</t>
  </si>
  <si>
    <t>ZZR</t>
  </si>
  <si>
    <t>NPER</t>
  </si>
  <si>
    <t>ZÄHLENWENN</t>
  </si>
  <si>
    <t>COUNTIF</t>
  </si>
  <si>
    <t>ZÄHLENWENNS</t>
  </si>
  <si>
    <t>COUNTIFS</t>
  </si>
  <si>
    <t>TAKE</t>
  </si>
  <si>
    <t>ÜBERSETZEN</t>
  </si>
  <si>
    <t>TRANSLATE</t>
  </si>
  <si>
    <t>Symbol</t>
  </si>
  <si>
    <t>Rang</t>
  </si>
  <si>
    <t>2♦</t>
  </si>
  <si>
    <t>3♦</t>
  </si>
  <si>
    <t>4♦</t>
  </si>
  <si>
    <t>5♦</t>
  </si>
  <si>
    <t>6♦</t>
  </si>
  <si>
    <t>7♦</t>
  </si>
  <si>
    <t>8♦</t>
  </si>
  <si>
    <t>9♦</t>
  </si>
  <si>
    <t>J♦</t>
  </si>
  <si>
    <t>K♦</t>
  </si>
  <si>
    <t>A♦</t>
  </si>
  <si>
    <t>2♥</t>
  </si>
  <si>
    <t>3♥</t>
  </si>
  <si>
    <t>4♥</t>
  </si>
  <si>
    <t>5♥</t>
  </si>
  <si>
    <t>6♥</t>
  </si>
  <si>
    <t>7♥</t>
  </si>
  <si>
    <t>8♥</t>
  </si>
  <si>
    <t>9♥</t>
  </si>
  <si>
    <t>J♥</t>
  </si>
  <si>
    <t>K♥</t>
  </si>
  <si>
    <t>A♥</t>
  </si>
  <si>
    <t>2♠</t>
  </si>
  <si>
    <t>4♠</t>
  </si>
  <si>
    <t>5♠</t>
  </si>
  <si>
    <t>6♠</t>
  </si>
  <si>
    <t>7♠</t>
  </si>
  <si>
    <t>8♠</t>
  </si>
  <si>
    <t>9♠</t>
  </si>
  <si>
    <t>J♠</t>
  </si>
  <si>
    <t>Q♠</t>
  </si>
  <si>
    <t>A♠</t>
  </si>
  <si>
    <t>2♣</t>
  </si>
  <si>
    <t>4♣</t>
  </si>
  <si>
    <t>5♣</t>
  </si>
  <si>
    <t>6♣</t>
  </si>
  <si>
    <t>7♣</t>
  </si>
  <si>
    <t>8♣</t>
  </si>
  <si>
    <t>9♣</t>
  </si>
  <si>
    <t>J♣</t>
  </si>
  <si>
    <t>Q♣</t>
  </si>
  <si>
    <t>K♣</t>
  </si>
  <si>
    <t>A♣</t>
  </si>
  <si>
    <t>Joker</t>
  </si>
  <si>
    <t>★</t>
  </si>
  <si>
    <t>Neutral</t>
  </si>
  <si>
    <t>☆</t>
  </si>
  <si>
    <t>Symname</t>
  </si>
  <si>
    <t>SpielKarten_Bereinigen</t>
  </si>
  <si>
    <t>Änderungen</t>
  </si>
  <si>
    <t>Schnell Teilen, teilt Zelle nach ; in Spalten</t>
  </si>
  <si>
    <t>Zeichenfolgen in Spalte/Zeile</t>
  </si>
  <si>
    <t>Häufung</t>
  </si>
  <si>
    <t>STRG+SHIFT+F3</t>
  </si>
  <si>
    <t>Tabelle automatisch bennen nach überschriften</t>
  </si>
  <si>
    <t>Ist eine Zahl im Bereich</t>
  </si>
  <si>
    <t>F9</t>
  </si>
  <si>
    <t>Wert aus Zellreferenz in Formel übernehmen</t>
  </si>
  <si>
    <t>Wertetabelle mit Häufungen, Min kleinster Wert, Max größter Wert</t>
  </si>
  <si>
    <t>Anzahl2(eindeutig())=1</t>
  </si>
  <si>
    <t>alle zellen gleich?</t>
  </si>
  <si>
    <t>Bereinigt und teilt</t>
  </si>
  <si>
    <t>10♦</t>
  </si>
  <si>
    <t>10♥</t>
  </si>
  <si>
    <t>10♠</t>
  </si>
  <si>
    <t>10♣</t>
  </si>
  <si>
    <t>SpielKarten_ZelleTrennen</t>
  </si>
  <si>
    <t>Teilt eine Zelle mit mehreren Spielkarten auf, 10 bleibt 10</t>
  </si>
  <si>
    <t>SpielKarten_PokerFormeln</t>
  </si>
  <si>
    <t>Karten in Spalte -&gt; Xverweis auf "Spielkarten" -&gt; Überschrift Sequenz/Symname auswählen</t>
  </si>
  <si>
    <t xml:space="preserve">Formel Straße anpassen auf 
=WENNFEHLER(UND(ANZAHL2(EINDEUTIG(I39:I43))=5;ODER((MAX(I39:I43)-MIN(I39:I43))=4;UND(MAX(I39:I43)=14;MIN(I39:I43)=2;(KGRÖSSTE(I39:I43;2)-MIN(I39:I43))=3)));FALSCH)
</t>
  </si>
  <si>
    <t>0</t>
  </si>
  <si>
    <t>IstPrimzahl</t>
  </si>
  <si>
    <t>kleinstes gemeinsammes Vielfaches</t>
  </si>
  <si>
    <t>größter gemeinsammer Teiler</t>
  </si>
  <si>
    <t>Verschiebt Buchstaben um genannten Offset</t>
  </si>
  <si>
    <t>Konvertiert Maßeinheiten</t>
  </si>
  <si>
    <t>Prüft ob Zahl eine Primzahl ist</t>
  </si>
  <si>
    <t>Karten_WerteInRichtung2</t>
  </si>
  <si>
    <t>Richtung: 1-o, 2-u, 3-l, 4-r, 5-ol, 6-or, 7-ul, 8-ur // Start: 0-ja, 1-nein // Modus: 0-Matrix, 1-Summe, 2-Mittel, 3-MIN, 4-MAX</t>
  </si>
  <si>
    <t>Doppelter XVERWEIS</t>
  </si>
  <si>
    <t>DVerweis</t>
  </si>
  <si>
    <t>Zyklus</t>
  </si>
  <si>
    <t>Gibt Zahlen n mal in 2 Spalten aus, z.B. 1;1 1;2 1;3 2;1 2;2 2;3 3;1…</t>
  </si>
  <si>
    <t>NurZahlen</t>
  </si>
  <si>
    <t>NurBuchstaben</t>
  </si>
  <si>
    <t>Gibt nur Zahlen aus</t>
  </si>
  <si>
    <t>Gibt nur Wert aus, die keine Zahlen sind. Optional nur Großbuchstaben oder nur Kleinbuchstaben.</t>
  </si>
  <si>
    <t>Existiert</t>
  </si>
  <si>
    <t>Vergesslich</t>
  </si>
  <si>
    <t>Tastenkombi</t>
  </si>
  <si>
    <t>Erster Buchstabe eines jeden Wortes in Groß</t>
  </si>
  <si>
    <t>Matrix zusammenfügen zu einer einzelnen</t>
  </si>
  <si>
    <t>xEindeutig</t>
  </si>
  <si>
    <t>EINDEUTIG() in Kombination mit ZUSPALTE, ohne Leerzeichen, ohne Fehler</t>
  </si>
  <si>
    <t>Prüft ob Wert zwischen 2 anderen liegt, wenn Werte ausgelassen werden 1 klein 2 groß beachten</t>
  </si>
  <si>
    <t>PfeileNächsteZelle</t>
  </si>
  <si>
    <t xml:space="preserve">EntfernungPythagoras </t>
  </si>
  <si>
    <t>EntfernungHaversine</t>
  </si>
  <si>
    <t>EntfernungZellen</t>
  </si>
  <si>
    <t>Gibt das nächste Feld in Richtung des Pfeils aus. Rückwärts 1 = entgegengesetzte Richtung</t>
  </si>
  <si>
    <t>xTextteilen</t>
  </si>
  <si>
    <t xml:space="preserve">Teilt Text nach dem ersten erkannten Trennzeichen auf. </t>
  </si>
  <si>
    <t>xRest</t>
  </si>
  <si>
    <t>Wenn Rest Null dann Teiler</t>
  </si>
  <si>
    <t>xFilter</t>
  </si>
  <si>
    <t>Bis zu 5 Filter in einer Formel. z.B. A:D;A:A=5;B:B&gt;1</t>
  </si>
  <si>
    <t>Kombinationsmöglichkeiten</t>
  </si>
  <si>
    <t>Listest alle Kombinationsmöglichkeiten auf. ZahlMehrfach: Nein: 123 Ja:111 - KürzereKombis: Nein:123 Ja:12</t>
  </si>
  <si>
    <t>Wandelt einen Buchstaben in Zahlen 1-26 auf, KG 1 gibt K; oder G; vor der Buchstabennummer an</t>
  </si>
  <si>
    <t>Berechnet Entfernung anhand von 2 Koordinaten, Ergebnis in km</t>
  </si>
  <si>
    <t>Berechnet Entfernung anhand von 2 Koordinaten mit Erdkrümmung</t>
  </si>
  <si>
    <t>Prüft, ob Suchtext einem Feld in Bereich 1zu1 entspricht. 0 Ja/Nein, 1 Anzahl</t>
  </si>
  <si>
    <t>Rechts, Links, Horizontal spiegeln, Vertikal spiegeln, auch in Kombination ("RH")</t>
  </si>
  <si>
    <t>=LAMBDA(start_ref_str;arrow;[steps];[board_rng];[push_mode];   LET(     step_n; WENN(WURDEAUSGELASSEN(steps); 1; steps);     mode; WENN(WURDEAUSGELASSEN(push_mode); 1; push_mode);     strip_sheet; LAMBDA(t; WENNFEHLER(TEXTNACH(t; "!"); t));     clean; LAMBDA(t; GROSS(WECHSELN(strip_sheet(t); "$"; "")));     start_a1; SÄUBERN(start_ref_str);     start_row; WERT(REGEXEXTRAHIEREN(start_a1; "\d+"; 0));     start_col; lc_to_nc(REGEXEXTRAHIEREN(start_a1; "[A-Z]+"; 0));     d_row; ERSTERWERT(arrow; "←"; 0; "↖"; -1; "↗"; -1; "→"; 0; "↙"; 1; "↓"; 1; "↘"; 1; "↑"; -1);     d_col; ERSTERWERT(arrow; "←"; -1; "↖"; -1; "↗"; 1; "→"; 1; "↙"; -1; "↓"; 0; "↘"; 1; "↑"; 0);          row_min; WENN(WURDEAUSGELASSEN(board_rng); 1; MIN(ZEILE(board_rng)));     row_max; WENN(WURDEAUSGELASSEN(board_rng); 1048576; MAX(ZEILE(board_rng)));     col_min; WENN(WURDEAUSGELASSEN(board_rng); 1; MIN(SPALTE(board_rng)));     col_max; WENN(WURDEAUSGELASSEN(board_rng); 16384; MAX(SPALTE(board_rng)));          try_row; start_row + d_row * step_n;     try_col; start_col + d_col * step_n;     push_row; MIN(MAX(try_row; row_min); row_max);     push_col; MIN(MAX(try_col; col_min); col_max);     oob; ODER(try_row &lt;&gt; push_row; try_col &lt;&gt; push_col);          WENN(oob;       ERSTERWERT(mode;         1; nc_to_lc(push_col) &amp; push_row;         0; nc_to_lc(start_col) &amp; start_row;         -1; "oob";         nc_to_lc(push_col) &amp; push_row       );       nc_to_lc(try_col) &amp; try_row     )   ) )</t>
  </si>
  <si>
    <t>=LAMBDA(Sequenz;Symname;
    LET(
        z; ZEILE(Sequenz);
        s; REGEXEXTRAHIEREN(ADRESSE(1; SPALTE(Sequenz); 4); "[A-Z]+");
        f; REGEXEXTRAHIEREN(ADRESSE(1; SPALTE(Symname); 4); "[A-Z]+");
        seq_4; s &amp; (z - 3) &amp; ":" &amp; s &amp; z;
        seq_5; s &amp; (z - 3) &amp; ":" &amp; s &amp; (z + 1);
        seqn; s &amp; (z + 1);
        sym_5; f &amp; (z - 3) &amp; ":" &amp; f &amp; (z + 1);
        mn; "M" &amp; (z + 1) &amp; ":N" &amp; (z + 1);
        col_j; ZEICHEN(CODE(s) + 1);
        col_r; ZEICHEN(CODE(s) + 9);
        gesamt_formel; "=WENNFEHLER(MAX(FILTER(TEXTVOR(" &amp; col_j &amp; z &amp; ":" &amp; col_r &amp; z &amp;
            ";""."")*1;" &amp; col_j &amp; (z + 1) &amp; ":" &amp; col_r &amp; (z + 1) &amp; "=WAHR));0)";
        VSTAPELN(
            HSTAPELN(
                "1. Paar";
                "2. 2Paar";
                "3. Drilling";
                "4. Straße";
                "5. Flush";
                "6. FullHouse";
                "7. Vierling";
                "8. StraightFlush";
                "9. RoyalFlush";
                "Größte"
            );
            HSTAPELN(
                "=WENNFEHLER(ZÄHLENWENN(" &amp; seq_4 &amp; ";" &amp; seqn &amp; ")=1;FALSCH)";
                "=UND(ANZAHL2(EINDEUTIG(FILTER(" &amp; seq_5 &amp; ";ISTZAHL(" &amp; seq_5 &amp;
                    "))))=3;MAX(ZÄHLENWENN(" &amp; seq_5 &amp; ";" &amp; seq_5 &amp; "))=2;ZÄHLENWENN(" &amp;
                    seq_4 &amp; ";" &amp; seqn &amp; ")=1)";
                "=ZÄHLENWENN(" &amp; seq_4 &amp; ";" &amp; seqn &amp; ")=2";
                "=UND(ANZAHL2(EINDEUTIG(" &amp; seq_5 &amp; "))=5;ODER((MAX(" &amp; seq_5 &amp; ")-MIN(" &amp;
                    seq_5 &amp; "))=4;UND(MAX(" &amp; seq_5 &amp; ")=14;MIN(" &amp; seq_5 &amp; ")=5)))";
                "=ANZAHL2(EINDEUTIG(" &amp; sym_5 &amp; "))=1";
                "=UND(MAX(ZÄHLENWENN(" &amp; seq_5 &amp; ";" &amp; seq_5 &amp; "))=3;MIN(ZÄHLENWENN(" &amp;
                    seq_5 &amp; ";" &amp; seq_5 &amp; "))=2)";
                "=ZÄHLENWENN(" &amp; seq_4 &amp; ";" &amp; seqn &amp; ")=3";
                "=UND(" &amp; mn &amp; ")";
                "=UND(ANZAHL2(EINDEUTIG(" &amp; seq_5 &amp; "))=5;MIN(" &amp; seq_5 &amp; ")=10)";
                gesamt_formel
            )
        )
    )
)</t>
  </si>
  <si>
    <t>Gibt nur die ersten oder letzen X Zeilen oder Spalten einer Matrix aus</t>
  </si>
  <si>
    <t>Gibt nur die angegebenen Spalten einer Matrix an, Eingabe in Zahlen, Spalten mit ";" getrennt</t>
  </si>
  <si>
    <t>Gibt nur die angegebenen Zeilen einer Matrix an, Eingabe in Zahlen, Zeilen mit ";" getrennt</t>
  </si>
  <si>
    <t>Zeichenfolge innerhalb einer anderen (ohne groß/klein)</t>
  </si>
  <si>
    <t>Zeichenfolge innerhalb einer anderen (groß/klein)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</si>
</sst>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color theme="0"/>
      <name val="Roboto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6" fillId="0" borderId="0"/>
  </cellStyleXfs>
  <cellXfs count="17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0" fontId="0" fillId="0" borderId="0" xfId="2" applyFont="1"/>
    <xf numFmtId="0" fontId="0" fillId="0" borderId="0" xfId="0" quotePrefix="1"/>
    <xf numFmtId="0" fontId="0" fillId="0" borderId="0" xfId="0" applyAlignment="1">
      <alignment vertical="center"/>
    </xf>
    <xf numFmtId="0" fontId="6" fillId="0" borderId="0" xfId="5"/>
    <xf numFmtId="0" fontId="6" fillId="0" borderId="0" xfId="5" quotePrefix="1"/>
    <xf numFmtId="0" fontId="6" fillId="0" borderId="0" xfId="5" quotePrefix="1" applyAlignment="1">
      <alignment wrapText="1"/>
    </xf>
    <xf numFmtId="0" fontId="5" fillId="0" borderId="0" xfId="5" applyFont="1" applyAlignment="1">
      <alignment vertical="center"/>
    </xf>
    <xf numFmtId="0" fontId="5" fillId="0" borderId="0" xfId="5" applyFont="1" applyAlignment="1">
      <alignment vertical="center" wrapText="1"/>
    </xf>
    <xf numFmtId="0" fontId="6" fillId="0" borderId="0" xfId="5" applyAlignment="1">
      <alignment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0" fillId="0" borderId="2" xfId="0" quotePrefix="1" applyBorder="1"/>
    <xf numFmtId="0" fontId="0" fillId="0" borderId="2" xfId="0" applyBorder="1"/>
    <xf numFmtId="0" fontId="7" fillId="0" borderId="0" xfId="0" applyFont="1"/>
    <xf numFmtId="0" fontId="5" fillId="0" borderId="0" xfId="5" quotePrefix="1" applyFont="1" applyAlignment="1">
      <alignment vertical="center" wrapText="1"/>
    </xf>
  </cellXfs>
  <cellStyles count="6">
    <cellStyle name="Normal 2" xfId="1" xr:uid="{694FA30E-D796-40F8-83B5-5B0BBD8C5B08}"/>
    <cellStyle name="Normal 2 2" xfId="2" xr:uid="{C97C6FBA-4A6F-475A-9BAF-C23797B445DE}"/>
    <cellStyle name="Normal 3 2" xfId="4" xr:uid="{7953BD29-C08D-4933-AE1A-786A9D830F5C}"/>
    <cellStyle name="Standard" xfId="0" builtinId="0"/>
    <cellStyle name="Standard 2" xfId="3" xr:uid="{6754C2B2-05F5-41B8-A01F-388CCB613E0D}"/>
    <cellStyle name="Standard 2 2" xfId="5" xr:uid="{841B8A95-A103-4B4B-AA40-9D0A2557B6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209300</xdr:rowOff>
    </xdr:from>
    <xdr:to>
      <xdr:col>9</xdr:col>
      <xdr:colOff>4790</xdr:colOff>
      <xdr:row>4</xdr:row>
      <xdr:rowOff>209660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7">
              <a:extLst>
                <a:ext uri="{FF2B5EF4-FFF2-40B4-BE49-F238E27FC236}">
                  <a16:creationId xmlns:a16="http://schemas.microsoft.com/office/drawing/2014/main" id="{069F231A-F4BF-48A2-91BA-635A15641B96}"/>
                </a:ext>
              </a:extLst>
            </xdr14:cNvPr>
            <xdr14:cNvContentPartPr/>
          </xdr14:nvContentPartPr>
          <xdr14:nvPr macro=""/>
          <xdr14:xfrm>
            <a:off x="15919200" y="631800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A94D1D9-EFB2-BE0F-B689-8A24A1AE91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913080" y="6311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0T23:32:53.0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3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3BF04B2-1454-494F-B2D1-9F5AA34B9B66}">
  <we:reference id="wa200003696" version="1.3.0.0" store="de-DE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DCF295C1-BD3B-4175-8751-F924E88E484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1121A89-84BC-4AA5-9999-C3A4A88ED0C8}">
  <we:reference id="wa104381504" version="1.0.0.0" store="de-DE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B0B0-BE8B-452B-9565-2F222B0D7EA5}">
  <sheetPr codeName="Tabelle1"/>
  <dimension ref="A1:O40"/>
  <sheetViews>
    <sheetView tabSelected="1" workbookViewId="0">
      <selection activeCell="D19" sqref="D19"/>
    </sheetView>
  </sheetViews>
  <sheetFormatPr baseColWidth="10" defaultRowHeight="15" x14ac:dyDescent="0.25"/>
  <cols>
    <col min="1" max="1" width="26.42578125" style="6" bestFit="1" customWidth="1"/>
    <col min="2" max="2" width="11.7109375" style="6" bestFit="1" customWidth="1"/>
    <col min="3" max="3" width="109.42578125" style="6" bestFit="1" customWidth="1"/>
    <col min="4" max="4" width="56.28515625" style="6" bestFit="1" customWidth="1"/>
    <col min="5" max="16384" width="11.42578125" style="6"/>
  </cols>
  <sheetData>
    <row r="1" spans="1:4" x14ac:dyDescent="0.25">
      <c r="A1" s="6" t="s">
        <v>66</v>
      </c>
      <c r="B1" s="6" t="s">
        <v>67</v>
      </c>
      <c r="C1" s="6" t="s">
        <v>68</v>
      </c>
      <c r="D1" s="6" t="s">
        <v>1085</v>
      </c>
    </row>
    <row r="2" spans="1:4" x14ac:dyDescent="0.25">
      <c r="A2" s="6" t="s">
        <v>93</v>
      </c>
      <c r="B2" s="6" t="e" vm="1">
        <f>_xlfn.LAMBDA(_xlfn.VSTACK(_xlfn.HSTACK("Buchstabe", "Pfeil", "Alternativ", "Zeile", "Spalte", "Karte_WerteinRichtung"), _xlfn.HSTACK("U", "↑", "↑", -1, 0, 1), _xlfn.HSTACK("D", "↓", "↓", 1, 0, 2), _xlfn.HSTACK("L", "←", "←", 0, -1, 3), _xlfn.HSTACK("R", "→", "→", 0, 1, 4), _xlfn.HSTACK("UL", "↖", "↑←", -1, -1, 5), _xlfn.HSTACK("UR", "↗", "↑→", -1, 1, 6), _xlfn.HSTACK("DL", "↙", "↓←", 1, -1, 7), _xlfn.HSTACK("DR", "↘", "↓→", 1, 1, 8)))</f>
        <v>#VALUE!</v>
      </c>
      <c r="C2" s="6" t="s">
        <v>97</v>
      </c>
    </row>
    <row r="3" spans="1:4" x14ac:dyDescent="0.25">
      <c r="A3" s="6" t="s">
        <v>61</v>
      </c>
      <c r="B3" s="6" t="e" cm="1" vm="1">
        <f t="array" aca="1" ref="B3" ca="1">_xlfn.LAMBDA(_xlpm.Text,_xlpm.Suchtext_Matrix,_xlop.Anzahl0_Verbleibend1, _xlfn.LET(_xlpm.AV, _xlfn.IFS(_xlfn.ISOMITTED(_xlpm.Anzahl0_Verbleibend1), 0, _xlpm.Anzahl0_Verbleibend1 = 1, 1, TRUE, 0), _xlpm.Fehler, IF(ISNUMBER(FIND(":", _xlfn.FORMULATEXT(_xlpm.Text))), TRUE, FALSE), _xlpm.LT, LEN(_xlpm.Text), _xlpm.SM, _xlpm.LT - LEN(SUBSTITUTE(_xlpm.Text, _xlpm.Suchtext_Matrix, "")), _xlfn.IFS(_xlpm.Fehler = TRUE, "#Matrix", _xlpm.AV = 0, _xlpm.SM, _xlpm.AV = 1, _xlpm.LT - _xlpm.SM)))</f>
        <v>#VALUE!</v>
      </c>
      <c r="C3" s="6" t="s">
        <v>62</v>
      </c>
    </row>
    <row r="4" spans="1:4" x14ac:dyDescent="0.25">
      <c r="A4" s="6" t="s">
        <v>85</v>
      </c>
      <c r="B4" s="6" t="e" cm="1" vm="1">
        <f t="array" ref="B4">_xlfn.LAMBDA(_xlpm.Zelle,_xlop.KG_ohne0_mit1, _xlfn.LET(_xlpm.ZUNI, _xlfn.UNICODE(_xlpm.Zelle), _xlpm.KG, IF(_xlfn.ISOMITTED(_xlpm.KG_ohne0_mit1), 0, _xlpm.KG_ohne0_mit1), IF(AND(_xlpm.ZUNI &gt;= 65, _xlpm.ZUNI &lt;= 90), IF(_xlpm.KG = 1, "G;" &amp; (_xlpm.ZUNI - 64), (_xlpm.ZUNI - 64) * 1), IF(AND(_xlpm.ZUNI &gt;= 97, _xlpm.ZUNI &lt;= 122), IF(_xlpm.KG = 1, "K;" &amp; (_xlpm.ZUNI - 96), (_xlpm.ZUNI - 96) * 1), 0))))</f>
        <v>#VALUE!</v>
      </c>
      <c r="C4" s="6" t="s">
        <v>1145</v>
      </c>
    </row>
    <row r="5" spans="1:4" x14ac:dyDescent="0.25">
      <c r="A5" s="6" t="s">
        <v>1117</v>
      </c>
      <c r="B5" s="6" t="e" cm="1" vm="1">
        <f t="array" ref="B5">_xlfn.LAMBDA(_xlpm.Such1,_xlpm.Such2,_xlpm.Matrix1,_xlpm.Matrix2,_xlpm.WertMatrix, _xlfn.XLOOKUP(_xlpm.Such1, _xlpm.Matrix1, _xlfn.XLOOKUP(_xlpm.Such2, _xlpm.Matrix2, _xlpm.WertMatrix, 0), NA()))</f>
        <v>#VALUE!</v>
      </c>
      <c r="C5" s="6" t="s">
        <v>1116</v>
      </c>
    </row>
    <row r="6" spans="1:4" x14ac:dyDescent="0.25">
      <c r="A6" s="6" t="s">
        <v>1134</v>
      </c>
      <c r="B6" s="6" t="e" cm="1" vm="1">
        <f t="array" ref="B6">_xlfn.LAMBDA(_xlpm.Breite1,_xlpm.Laenge1,_xlpm.Breite2,_xlpm.Laenge2, _xlfn.LET(_xlpm._lat1, RADIANS(_xlpm.Breite1), _xlpm._lat2, RADIANS(_xlpm.Breite2), _xlpm._lon1, RADIANS(_xlpm.Laenge1), _xlpm._lon2, RADIANS(_xlpm.Laenge2), _xlpm.dLat, _xlpm._lat2 - _xlpm._lat1, _xlpm.dLon, _xlpm._lon2 - _xlpm._lon1, _xlpm.a, (SIN(_xlpm.dLat / 2) ^ 2) + (COS(_xlpm._lat1) * COS(_xlpm._lat2) * SIN(_xlpm.dLon / 2) ^ 2), _xlpm.entfernung, 2 * 6371 * ASIN(SQRT(_xlpm.a)), _xlpm.entfernung))</f>
        <v>#VALUE!</v>
      </c>
      <c r="C6" s="6" t="s">
        <v>1147</v>
      </c>
    </row>
    <row r="7" spans="1:4" x14ac:dyDescent="0.25">
      <c r="A7" s="6" t="s">
        <v>1133</v>
      </c>
      <c r="B7" s="6" t="e" cm="1" vm="1">
        <f t="array" ref="B7">_xlfn.LAMBDA(_xlpm.Länge1,_xlpm.Breite1,_xlpm.Länge2,_xlpm.Breite2, SQRT(SUMSQ((_xlpm.Länge1 - _xlpm.Länge2), (_xlpm.Breite1 - _xlpm.Breite2)))*100)</f>
        <v>#VALUE!</v>
      </c>
      <c r="C7" s="6" t="s">
        <v>1146</v>
      </c>
    </row>
    <row r="8" spans="1:4" x14ac:dyDescent="0.25">
      <c r="A8" s="6" t="s">
        <v>1135</v>
      </c>
      <c r="B8" s="6" t="e" cm="1" vm="1">
        <f t="array" aca="1" ref="B8" ca="1">_xlfn.LAMBDA(_xlpm.Start1,_xlpm.Start2,_xlop.Spalten0_Phyt1_AbsMitDiag2_AbsOhneDiag3, _xlfn.LET(_xlpm.Strecke, IF(_xlfn.ISOMITTED(_xlpm.Spalten0_Phyt1_AbsMitDiag2_AbsOhneDiag3), 0, _xlpm.Spalten0_Phyt1_AbsMitDiag2_AbsOhneDiag3), _xlpm.Pos_1, INDIRECT(_xlpm.Start1), _xlpm.Pos_2, INDIRECT(_xlpm.Start2), _xlpm.Zeile_1, ROW(_xlpm.Pos_1), _xlpm.Spalte_1, COLUMN(_xlpm.Pos_1), _xlpm.Zeile_2, ROW(_xlpm.Pos_2), _xlpm.Spalte_2, COLUMN(_xlpm.Pos_2), _xlpm.EntfZeile, _xlpm.Zeile_2 - _xlpm.Zeile_1, _xlpm.EntfSpalte, _xlpm.Spalte_2 - _xlpm.Spalte_1, _xlfn.IFS(_xlpm.Strecke = 0, _xlfn.TEXTJOIN(";", , _xlpm.EntfZeile, _xlpm.EntfSpalte), _xlpm.Strecke = 1, SQRT(SUMSQ(_xlpm.EntfSpalte, _xlpm.EntfZeile)), _xlpm.Strecke = 2, MAX(ABS(_xlpm.EntfZeile), ABS(_xlpm.EntfSpalte)), _xlpm.Strecke = 3, ABS(_xlpm.EntfZeile) + ABS(_xlpm.EntfSpalte))))</f>
        <v>#VALUE!</v>
      </c>
      <c r="C8" s="6" t="s">
        <v>73</v>
      </c>
    </row>
    <row r="9" spans="1:4" x14ac:dyDescent="0.25">
      <c r="A9" s="6" t="s">
        <v>1124</v>
      </c>
      <c r="B9" s="7" t="e" cm="1" vm="1">
        <f t="array" ref="B9">_xlfn.LAMBDA(_xlpm.Bereich,_xlpm.Suchtext,_xlop.JaNein0_Anzahl1, _xlfn.IFS(OR(_xlfn.ISOMITTED(_xlpm.JaNein0_Anzahl1), _xlpm.JaNein0_Anzahl1 = 0), OR(_xlpm.Suchtext = _xlpm.Bereich), _xlpm.JaNein0_Anzahl1 = 1, SUM(--(_xlpm.Suchtext = _xlpm.Bereich)), TRUE, NA()))</f>
        <v>#VALUE!</v>
      </c>
      <c r="C9" s="6" t="s">
        <v>1148</v>
      </c>
    </row>
    <row r="10" spans="1:4" x14ac:dyDescent="0.25">
      <c r="A10" s="6" t="s">
        <v>51</v>
      </c>
      <c r="B10" s="3" t="e" cm="1" vm="1">
        <f t="array" ref="B10">_xlfn.LAMBDA(_xlpm.Werte,_xlpm.Ausgabe,_xlop.Alle0oderErstes1,_xlfn.LET(
_xlpm.A1p,IF(_xlfn.ISOMITTED(_xlpm.Alle0oderErstes1),0,_xlpm.Alle0oderErstes1),
_xlfn.IFS(
_xlpm.A1p=0,_xlfn._xlws.FILTER(_xlpm.Ausgabe,_xlpm.Werte=MAX(_xlpm.Werte)),
_xlpm.A1p=1,_xlfn.XLOOKUP(MAX(_xlpm.Werte),_xlpm.Werte,_xlpm.Ausgabe,,0,1))))</f>
        <v>#VALUE!</v>
      </c>
      <c r="C10" s="6" t="s">
        <v>52</v>
      </c>
    </row>
    <row r="11" spans="1:4" x14ac:dyDescent="0.25">
      <c r="A11" s="6" t="s">
        <v>1088</v>
      </c>
      <c r="B11" s="9" t="e" cm="1" vm="1">
        <f t="array" ref="B11">_xlfn.LAMBDA(_xlpm.Matrix,_xlop.Tabelle0_Min1_Max2,_xlop.ohneFehler0_mitFehler1, _xlfn.LET(_xlpm.TMM, IF(_xlfn.ISOMITTED(_xlpm.Tabelle0_Min1_Max2), 0, IF(AND(_xlpm.Tabelle0_Min1_Max2 &lt;= 2, _xlpm.Tabelle0_Min1_Max2 &gt;= 0), _xlpm.Tabelle0_Min1_Max2, NA())), _xlpm.Leer, _xlfn.IFS(_xlfn.ISOMITTED(_xlpm.ohneFehler0_mitFehler1), 3, _xlpm.ohneFehler0_mitFehler1 = 0, 3, _xlpm.ohneFehler0_mitFehler1 = 1, 1, TRUE, NA()), _xlpm.MX, _xlfn.TOCOL(_xlpm.Matrix, _xlpm.Leer), _xlpm.Eind, _xlfn.UNIQUE(_xlpm.MX), _xlpm.ZW, COUNTIF(_xlpm.Matrix, _xlfn.UNIQUE(_xlpm.MX)), _xlfn.IFS(_xlpm.TMM = 0, _xlfn._xlws.SORT(_xlfn.HSTACK(_xlpm.Eind, _xlpm.ZW, _xlpm.ZW / SUM(_xlpm.ZW)), {2,1}, {-1,1}), _xlpm.TMM = 1, _xlfn._xlws.FILTER(_xlpm.Eind, _xlpm.ZW = MIN(_xlpm.ZW)), _xlpm.TMM = 2, _xlfn._xlws.FILTER(_xlpm.Eind, _xlpm.ZW = MAX(_xlpm.ZW)))))</f>
        <v>#VALUE!</v>
      </c>
      <c r="C11" s="6" t="s">
        <v>1094</v>
      </c>
    </row>
    <row r="12" spans="1:4" x14ac:dyDescent="0.25">
      <c r="A12" s="6" t="s">
        <v>89</v>
      </c>
      <c r="B12" s="6" t="e" cm="1" vm="1">
        <f t="array" aca="1" ref="B12" ca="1">_xlfn.LAMBDA(_xlpm.Zelle,COLUMN(INDIRECT(_xlpm.Zelle)))</f>
        <v>#VALUE!</v>
      </c>
      <c r="C12" s="6" t="s">
        <v>91</v>
      </c>
    </row>
    <row r="13" spans="1:4" x14ac:dyDescent="0.25">
      <c r="A13" s="6" t="s">
        <v>1108</v>
      </c>
      <c r="B13" s="9" t="e" cm="1" vm="1">
        <f t="array" ref="B13">_xlfn.LAMBDA(_xlpm.Zahl, _xlfn.IFS(_xlpm.Zahl &lt;= 1, FALSE, _xlpm.Zahl = 2, TRUE, TRUE, SUMPRODUCT(--(MOD(_xlpm.Zahl, _xlfn.SEQUENCE(ROUNDUP(SQRT(_xlpm.Zahl), 0) - 1, 1, 2)) = 0)) = 0))</f>
        <v>#VALUE!</v>
      </c>
      <c r="C13" s="6" t="s">
        <v>1113</v>
      </c>
    </row>
    <row r="14" spans="1:4" x14ac:dyDescent="0.25">
      <c r="A14" s="6" t="s">
        <v>90</v>
      </c>
      <c r="B14" s="6" t="e" cm="1" vm="1">
        <f t="array" aca="1" ref="B14" ca="1">_xlfn.LAMBDA(_xlpm.Zelle,ROW(INDIRECT(_xlpm.Zelle)))</f>
        <v>#VALUE!</v>
      </c>
      <c r="C14" s="6" t="s">
        <v>92</v>
      </c>
    </row>
    <row r="15" spans="1:4" x14ac:dyDescent="0.25">
      <c r="A15" s="6" t="s">
        <v>87</v>
      </c>
      <c r="B15" s="6" t="e" cm="1" vm="1">
        <f t="array" aca="1" ref="B15" ca="1">_xlfn.LAMBDA(_xlpm.Start,_xlpm.Ende,_xlop.Blatt,_xlop.Addr0_Ind1_Beides2,
    _xlfn.LET(
        _xlpm.AIB, IF(_xlfn.ISOMITTED(_xlpm.Addr0_Ind1_Beides2), 1, _xlpm.Addr0_Ind1_Beides2),
        _xlpm.tbl, IF(_xlfn.ISOMITTED(_xlpm.Blatt), "", _xlpm.Blatt &amp; "!"),
        _xlpm.s, INDIRECT(_xlpm.Start),
        _xlpm.e, INDIRECT(_xlpm.Ende),
        _xlpm.sZ, ROW(_xlpm.s),
        _xlpm.sS, COLUMN(_xlpm.s),
        _xlpm.eZ, ROW(_xlpm.e),
        _xlpm.eS, COLUMN(_xlpm.e),
        _xlpm.minZ, MIN(_xlpm.sZ, _xlpm.eZ),
        _xlpm.maxZ, MAX(_xlpm.sZ, _xlpm.eZ),
        _xlpm.minS, MIN(_xlpm.sS, _xlpm.eS),
        _xlpm.maxS, MAX(_xlpm.sS, _xlpm.eS),
        _xlpm.anZ, _xlpm.maxZ - _xlpm.minZ + 1,
        _xlpm.anS, _xlpm.maxS - _xlpm.minS + 1,
        _xlpm.idx, _xlfn.SEQUENCE(_xlpm.anZ * _xlpm.anS, 1, 0, 1),
        _xlpm.z, _xlpm.minZ + INT(_xlpm.idx / _xlpm.anS),
        _xlpm.sm, _xlpm.minS + MOD(_xlpm.idx, _xlpm.anS),
        _xlfn.IFS(
            _xlpm.AIB = 0,
            _xlpm.tbl &amp; ADDRESS(_xlpm.z, _xlpm.sm, 4),
            _xlpm.AIB = 1,
            INDIRECT(_xlpm.tbl &amp; _xlpm.Start &amp; ":" &amp; _xlpm.Ende),
            _xlpm.AIB = 2,
            _xlfn.HSTACK(_xlpm.tbl &amp; ADDRESS(_xlpm.z, _xlpm.sm, 4), INDIRECT(_xlpm.tbl &amp; _xlpm.Start &amp; ":" &amp; _xlpm.Ende))
        )
    )
)</f>
        <v>#VALUE!</v>
      </c>
      <c r="C15" s="6" t="s">
        <v>88</v>
      </c>
    </row>
    <row r="16" spans="1:4" x14ac:dyDescent="0.25">
      <c r="A16" s="6" t="s">
        <v>70</v>
      </c>
      <c r="B16" s="6" t="e" cm="1" vm="1">
        <f t="array" aca="1" ref="B16" ca="1">_xlfn.LAMBDA(_xlpm.Start,_xlpm.Matrix,_xlop.Radius,_xlop.Diagonal_Nein0_Ja1,_xlop.MitStart_Nein0_Ja1,_xlop.Matrix0_Sum1_Mitt2_Min3_Max4,_xlop.StartIndirekt0_Direkt1, _xlfn.LET(_xlpm.MSM, _xlfn.IFS(_xlfn.ISOMITTED(_xlpm.Matrix0_Sum1_Mitt2_Min3_Max4), 0, AND(_xlpm.Matrix0_Sum1_Mitt2_Min3_Max4 &gt; 0, _xlpm.Matrix0_Sum1_Mitt2_Min3_Max4 &lt; 5), _xlpm.Matrix0_Sum1_Mitt2_Min3_Max4, TRUE, 0), _xlpm.INDI, _xlfn.IFS(_xlfn.ISOMITTED(_xlpm.StartIndirekt0_Direkt1), 0, _xlpm.StartIndirekt0_Direkt1 = 0, 0, _xlpm.StartIndirekt0_Direkt1 = 1, 1), _xlpm.R, IF(_xlfn.ISOMITTED(_xlpm.Radius), 1, _xlpm.Radius), _xlpm.D, IF(_xlfn.ISOMITTED(_xlpm.Diagonal_Nein0_Ja1), 0, _xlpm.Diagonal_Nein0_Ja1), _xlpm.MS, IF(_xlfn.ISOMITTED(_xlpm.MitStart_Nein0_Ja1), 1, _xlpm.MitStart_Nein0_Ja1), _xlpm.sRef, IF(_xlpm.INDI = 0, INDIRECT(_xlpm.Start), _xlpm.Start), _xlpm.sRow, ROW(_xlpm.sRef), _xlpm.sCol, COLUMN(_xlpm.sRef), _xlpm.mTop, MIN(ROW(_xlpm.Matrix)), _xlpm.mLeft, MIN(COLUMN(_xlpm.Matrix)), _xlpm.mBottom, MAX(ROW(_xlpm.Matrix)), _xlpm.mRight, MAX(COLUMN(_xlpm.Matrix)), _xlpm.rows, _xlfn.SEQUENCE(2 * _xlpm.R + 1, 1, _xlpm.sRow - _xlpm.R), _xlpm.cols, _xlfn.SEQUENCE(1, 2 * _xlpm.R + 1, _xlpm.sCol - _xlpm.R), _xlpm.gridRows, _xlpm.rows + 0 * _xlpm.cols, _xlpm.gridCols, 0 * _xlpm.rows + _xlpm.cols, _xlpm.dRow, _xlpm.gridRows - _xlpm.sRow, _xlpm.dCol, _xlpm.gridCols - _xlpm.sCol, _xlpm.distRow, ABS(_xlpm.dRow), _xlpm.distCol, ABS(_xlpm.dCol), _xlpm.cheby, MAX(_xlpm.distRow, _xlpm.distCol), _xlpm.isStart, (_xlpm.dRow = 0) * (_xlpm.dCol = 0), _xlpm.allowed, IF(_xlpm.D = 1, ((_xlpm.cheby &gt;= 1) * (_xlpm.cheby &lt;= _xlpm.R)) + _xlpm.isStart, ((_xlpm.dRow = 0) * (_xlpm.distCol &gt;= 1) * (_xlpm.distCol &lt;= _xlpm.R) + (_xlpm.dCol = 0) * (_xlpm.distRow &gt;= 1) * (_xlpm.distRow &lt;= _xlpm.R) + _xlpm.isStart)), _xlpm.allowed2, IF(_xlpm.MS = 1, _xlpm.allowed, _xlpm.allowed * (1 - _xlpm.isStart)), _xlpm.inMatrix, (_xlpm.gridRows &gt;= _xlpm.mTop) * (_xlpm.gridRows &lt;= _xlpm.mBottom) * (_xlpm.gridCols &gt;= _xlpm.mLeft) * (_xlpm.gridCols &lt;= _xlpm.mRight), _xlpm.result, IF(_xlpm.allowed2 * _xlpm.inMatrix, IF(ISBLANK(INDEX(_xlpm.Matrix, _xlpm.gridRows - _xlpm.mTop + 1, _xlpm.gridCols - _xlpm.mLeft + 1)), "", INDEX(_xlpm.Matrix, _xlpm.gridRows - _xlpm.mTop + 1, _xlpm.gridCols - _xlpm.mLeft + 1)), ""), _xlfn.IFS(_xlpm.MSM = 0, _xlpm.result, _xlpm.MSM = 1, SUM(_xlpm.result), _xlpm.MSM = 2, AVERAGE(_xlpm.result), _xlpm.MSM = 3, MIN(_xlpm.result), _xlpm.MSM = 4, MAX(_xlpm.result))))</f>
        <v>#VALUE!</v>
      </c>
      <c r="C16" s="6" t="s">
        <v>72</v>
      </c>
    </row>
    <row r="17" spans="1:15" x14ac:dyDescent="0.25">
      <c r="A17" s="6" t="s">
        <v>1114</v>
      </c>
      <c r="B17" s="6" t="e" cm="1" vm="1">
        <f t="array" aca="1" ref="B17" ca="1">_xlfn.LAMBDA(_xlpm.Start,_xlpm.Richtung,_xlpm.Matrix,_xlop.Anzahl,_xlop.mitStart,_xlop.Modus, _xlfn.LET(_xlpm.Str, INDIRECT(_xlpm.Start), _xlpm.Z0, ROW(_xlpm.Str), _xlpm.S0, COLUMN(_xlpm.Str), _xlpm.Zmin, MIN(ROW(_xlpm.Matrix)), _xlpm.Zmax, MAX(ROW(_xlpm.Matrix)), _xlpm.Smin, MIN(COLUMN(_xlpm.Matrix)), _xlpm.Smax, MAX(COLUMN(_xlpm.Matrix)), _xlpm.Skip, IF(_xlfn.ISOMITTED(_xlpm.mitStart), 0, _xlpm.mitStart), _xlpm.Anz, IF(_xlfn.ISOMITTED(_xlpm.Anzahl), 0, _xlpm.Anzahl), _xlpm.MSM, _xlfn.IFS(_xlfn.ISOMITTED(_xlpm.Modus), 0, AND(_xlpm.Modus &gt;= 0, _xlpm.Modus &lt;= 4), _xlpm.Modus, TRUE, 0), _xlpm.dZ, CHOOSE(_xlpm.Richtung, -1, 1, 0, 0, -1, -1, 1, 1), _xlpm.dS, CHOOSE(_xlpm.Richtung, 0, 0, -1, 1, -1, 1, -1, 1), _xlpm.MaxInc, _xlfn.IFS(_xlpm.Richtung = 1, _xlpm.Z0 - _xlpm.Zmin, _xlpm.Richtung = 2, _xlpm.Zmax - _xlpm.Z0, _xlpm.Richtung = 3, _xlpm.S0 - _xlpm.Smin, _xlpm.Richtung = 4, _xlpm.Smax - _xlpm.S0, _xlpm.Richtung = 5, MIN(_xlpm.Z0 - _xlpm.Zmin, _xlpm.S0 - _xlpm.Smin), _xlpm.Richtung = 6, MIN(_xlpm.Z0 - _xlpm.Zmin, _xlpm.Smax - _xlpm.S0), _xlpm.Richtung = 7, MIN(_xlpm.Zmax - _xlpm.Z0, _xlpm.S0 - _xlpm.Smin), _xlpm.Richtung = 8, MIN(_xlpm.Zmax - _xlpm.Z0, _xlpm.Smax - _xlpm.S0)), _xlpm.MaxEff, IF(_xlpm.Skip = 0, _xlpm.MaxInc, MAX(_xlpm.MaxInc - 1, 0)), _xlpm.Eff, IF(_xlpm.Anz = 0, _xlpm.MaxEff, MIN(_xlpm.Anz, _xlpm.MaxEff)), _xlpm.Schritte, _xlfn.SEQUENCE(_xlpm.Eff + 1, 1, _xlpm.Skip, 1), _xlpm.Zpos, _xlpm.Z0 + _xlpm.dZ * _xlpm.Schritte, _xlpm.Spos, _xlpm.S0 + _xlpm.dS * _xlpm.Schritte, _xlpm.Werte, INDEX(_xlpm.Matrix, _xlpm.Zpos - _xlpm.Zmin + 1, _xlpm.Spos - _xlpm.Smin + 1), _xlfn.IFS(_xlpm.MSM = 0, _xlpm.Werte, _xlpm.MSM = 1, SUM(_xlpm.Werte), _xlpm.MSM = 2, AVERAGE(_xlpm.Werte), _xlpm.MSM = 3, MIN(_xlfn._xlws.FILTER(_xlpm.Werte, ISNUMBER(_xlpm.Werte))), _xlpm.MSM = 4, MAX(_xlfn._xlws.FILTER(_xlpm.Werte, ISNUMBER(_xlpm.Werte))))))</f>
        <v>#VALUE!</v>
      </c>
      <c r="C17" s="6" t="s">
        <v>1115</v>
      </c>
    </row>
    <row r="18" spans="1:15" x14ac:dyDescent="0.25">
      <c r="A18" s="6" t="s">
        <v>50</v>
      </c>
      <c r="B18" s="6" t="e" cm="1" vm="1">
        <f t="array" ref="B18">_xlfn.LAMBDA(_xlpm.Werte,_xlpm.Ausgabe,_xlop.Alle0oderErstes1,_xlfn.LET(
_xlpm.A1p,IF(_xlfn.ISOMITTED(_xlpm.Alle0oderErstes1),0,_xlpm.Alle0oderErstes1),
_xlfn.IFS(
_xlpm.A1p=0,_xlfn._xlws.FILTER(_xlpm.Ausgabe,_xlpm.Werte=MIN(_xlpm.Werte)),
_xlpm.A1p=1,_xlfn.XLOOKUP(MIN(_xlpm.Werte),_xlpm.Werte,_xlpm.Ausgabe,,0,1))))</f>
        <v>#VALUE!</v>
      </c>
      <c r="C18" s="6" t="s">
        <v>53</v>
      </c>
    </row>
    <row r="19" spans="1:15" x14ac:dyDescent="0.25">
      <c r="A19" s="6" t="s">
        <v>1143</v>
      </c>
      <c r="B19" s="6" t="e" cm="1" vm="1">
        <f t="array" ref="B19">_xlfn.LAMBDA(_xlpm.Matrix,_xlpm.Anzahl,_xlop.Kombination0_Permutation1,_xlop.ZahlMehrfach_Nein0_Ja1,_xlop.KürzereKombis_Nein0_Ja1, IF(_xlpm.Anzahl &lt; 1, NA(), _xlfn.LET(_xlpm.ci_, 1, _xlpm.flat_, IF(_xlpm.ci_ = 1, _xlfn.LET(_xlpm.r_, _xlfn.TOCOL(_xlpm.Matrix, 3), _xlfn.UNIQUE(_xlfn._xlws.FILTER(_xlpm.r_, _xlpm.r_ &lt;&gt; ""))), _xlfn.TOCOL(_xlpm.Matrix)), _xlpm.m_, ROWS(_xlpm.flat_), _xlpm.om_, IF(_xlfn.ISOMITTED(_xlpm.Kombination0_Permutation1), 0, _xlpm.Kombination0_Permutation1), _xlpm.rep_, IF(_xlfn.ISOMITTED(_xlpm.ZahlMehrfach_Nein0_Ja1), 0, _xlpm.ZahlMehrfach_Nein0_Ja1), _xlpm.cd_, IF(_xlfn.ISOMITTED(_xlpm.KürzereKombis_Nein0_Ja1), 0, _xlpm.KürzereKombis_Nein0_Ja1), _xlpm.chars_, _xlfn.UNICHAR(_xlfn.SEQUENCE(, _xlpm.m_, 20001)), _xlpm.one_k_, _xlfn.LAMBDA(_xlpm.k_, IF(_xlpm.k_ &lt; 1, NA(), _xlfn.LET(_xlpm.seq_, _xlfn.SEQUENCE(, _xlpm.k_), _xlpm.built_, _xlfn.REDUCE("", _xlpm.seq_, _xlfn.LAMBDA(_xlpm.acc_,_xlpm.step_, _xlfn.TOCOL(_xlfn.IFS(IF(_xlpm.om_ = 1, IF(_xlpm.rep_ = 1, 1, ISERR(FIND(_xlpm.chars_, _xlpm.acc_))), IF(_xlpm.rep_ = 1, RIGHT(_xlpm.acc_) &lt;= _xlpm.chars_, RIGHT(_xlpm.acc_) &lt; _xlpm.chars_)), _xlpm.acc_ &amp; _xlpm.chars_), 3))), IFERROR(INDEX(_xlpm.flat_, _xlfn.UNICODE(MID(_xlpm.built_, _xlpm.seq_, 1)) - 20000), NA())))), _xlpm.pad_, _xlfn.LAMBDA(_xlpm.x_, _xlfn.EXPAND(_xlpm.x_, ROWS(_xlpm.x_), _xlpm.Anzahl, "")), IF(_xlpm.cd_ = 0, _xlpm.pad_(_xlpm.one_k_(_xlpm.Anzahl)), _xlfn.LET(_xlpm.max_k_, IF(_xlpm.rep_ = 1, _xlpm.Anzahl, MIN(_xlpm.Anzahl, _xlpm.m_)), _xlpm.seed_, _xlpm.pad_(_xlpm.one_k_(_xlpm.max_k_)), IF(_xlpm.max_k_ = 1, _xlpm.seed_, _xlfn.REDUCE(_xlpm.seed_, _xlfn.SEQUENCE(_xlpm.max_k_ - 1, 1, _xlpm.max_k_ - 1, -1), _xlfn.LAMBDA(_xlpm.acc_,_xlpm.k_, _xlfn.VSTACK(_xlpm.acc_, _xlpm.pad_(_xlpm.one_k_(_xlpm.k_)))))))))))</f>
        <v>#VALUE!</v>
      </c>
      <c r="C19" s="6" t="s">
        <v>1144</v>
      </c>
    </row>
    <row r="20" spans="1:15" x14ac:dyDescent="0.25">
      <c r="A20" s="6" t="s">
        <v>76</v>
      </c>
      <c r="B20" s="6" t="e" cm="1" vm="1">
        <f t="array" ref="B20">_xlfn.LAMBDA(_xlpm.Matrix,_xlop.Zeilenüberschrift,_xlop.Spaltenüberschrift,_xlop.Trennzeichen,_xlop.ZÜ2,_xlop.SÜ2,_xlop.TZ_2, _xlfn.LET(_xlpm.TR, IF(_xlfn.ISOMITTED(_xlpm.Trennzeichen), ";", _xlpm.Trennzeichen), _xlpm.TZ, IF(_xlfn.ISOMITTED(_xlpm.TZ_2), ";", _xlpm.TZ_2), _xlpm.ZÜ_1, IF(_xlfn.ISOMITTED(_xlpm.Zeilenüberschrift), "", _xlpm.Zeilenüberschrift), _xlpm.SÜ_1, IF(_xlfn.ISOMITTED(_xlpm.Spaltenüberschrift), "", _xlpm.Spaltenüberschrift), _xlpm.ZÜ_2, IF(_xlfn.ISOMITTED(_xlpm.ZÜ2), "", _xlpm.TZ &amp; _xlpm.ZÜ2), _xlpm.SÜ_2, IF(_xlfn.ISOMITTED(_xlpm.SÜ2), "", _xlpm.TZ &amp; _xlpm.SÜ2), _xlpm.Adr_1, ADDRESS(ROW(_xlpm.ZÜ_1), COLUMN(_xlpm.SÜ_1), 4), _xlpm.Adr_2, _xlfn.MAP(_xlpm.Matrix, _xlfn.LAMBDA(_xlpm.x, ADDRESS(ROW(_xlpm.x), COLUMN(_xlpm.x), 4))), _xlfn.TOCOL(IF(AND(_xlfn.ISOMITTED(_xlpm.Zeilenüberschrift), _xlfn.ISOMITTED(_xlpm.Spaltenüberschrift)), _xlpm.Adr_2 &amp; _xlpm.TR &amp; _xlpm.Matrix, _xlpm.Adr_1 &amp; _xlpm.TR &amp; _xlpm.ZÜ_1 &amp; _xlpm.ZÜ_2 &amp; _xlpm.TR &amp; _xlpm.SÜ_1 &amp; _xlpm.SÜ_2 &amp; _xlpm.TR &amp; _xlpm.Matrix))))</f>
        <v>#VALUE!</v>
      </c>
      <c r="C20" s="6" t="s">
        <v>57</v>
      </c>
    </row>
    <row r="21" spans="1:15" x14ac:dyDescent="0.25">
      <c r="A21" s="6" t="s">
        <v>81</v>
      </c>
      <c r="B21" s="6" t="e" cm="1" vm="1">
        <f t="array" ref="B21">_xlfn.LAMBDA(_xlpm.Matrix,_xlpm.rlhv, _xlfn.LET(_xlpm.base, _xlpm.Matrix, _xlpm.is_scalar, AND(ROWS(_xlpm.base) = 1, COLUMNS(_xlpm.base) = 1), _xlpm.rlhvclean, IF(_xlfn.ISOMITTED(_xlpm.rlhv), "r", _xlpm.rlhv), _xlpm.op_count, LEN(_xlpm.rlhvclean), _xlpm.apply_one, _xlfn.LAMBDA(_xlpm.cur,_xlpm.op, _xlfn.LET(_xlpm.row_count, ROWS(_xlpm.cur), _xlpm.col_count, COLUMNS(_xlpm.cur), IF(OR(_xlpm.op = "r", _xlpm.op = 1), _xlfn.MAKEARRAY(_xlpm.col_count, _xlpm.row_count, _xlfn.LAMBDA(_xlpm.i,_xlpm.j, INDEX(_xlpm.cur, _xlpm.row_count - _xlpm.j + 1, _xlpm.i))), IF(_xlpm.op = "l", _xlfn.MAKEARRAY(_xlpm.col_count, _xlpm.row_count, _xlfn.LAMBDA(_xlpm.i,_xlpm.j, INDEX(_xlpm.cur, _xlpm.j, _xlpm.col_count - _xlpm.i + 1))), IF(_xlpm.op = "h", _xlfn.MAKEARRAY(_xlpm.row_count, _xlpm.col_count, _xlfn.LAMBDA(_xlpm.i,_xlpm.j, INDEX(_xlpm.cur, _xlpm.row_count - _xlpm.i + 1, _xlpm.j))), IF(_xlpm.op = "v", _xlfn.MAKEARRAY(_xlpm.row_count, _xlpm.col_count, _xlfn.LAMBDA(_xlpm.i,_xlpm.j, INDEX(_xlpm.cur, _xlpm.i, _xlpm.col_count - _xlpm.j + 1))), NA())))))), IF(_xlpm.is_scalar, _xlpm.base, IF(_xlpm.op_count = 0, _xlpm.base, IF(_xlpm.op_count &gt; 2, NA(), _xlfn.REDUCE(_xlpm.base, _xlfn.SEQUENCE(_xlpm.op_count), _xlfn.LAMBDA(_xlpm.cur,_xlpm.k, _xlpm.apply_one(_xlpm.cur, MID(_xlpm.rlhvclean, _xlpm.k, 1)))))))))</f>
        <v>#VALUE!</v>
      </c>
      <c r="C21" s="6" t="s">
        <v>1149</v>
      </c>
    </row>
    <row r="22" spans="1:15" x14ac:dyDescent="0.25">
      <c r="A22" s="6" t="s">
        <v>1121</v>
      </c>
      <c r="B22" s="6" t="e" cm="1" vm="1">
        <f t="array" ref="B22">_xlfn.LAMBDA(_xlpm.Text,_xlop.Text0_Klein1_Groß2, _xlfn.LET(_xlpm.TKG, IF(_xlfn.ISOMITTED(_xlpm.Text0_Klein1_Groß2), 0, _xlpm.Text0_Klein1_Groß2), _xlfn.IFS(OR(_xlpm.TKG = 0, _xlfn.ISOMITTED(_xlpm.TKG)), _xlfn.REGEXEXTRACT(_xlpm.Text, "\D+", 1), _xlpm.TKG = 1, _xlfn.REGEXEXTRACT(_xlpm.Text, "[a-z]", 1), _xlpm.TKG = 2, _xlfn.REGEXEXTRACT(_xlpm.Text, "[A-Z]", 1), TRUE, _xlfn.REGEXEXTRACT(_xlpm.Text, "\D+", 1))))</f>
        <v>#VALUE!</v>
      </c>
      <c r="C22" s="6" t="s">
        <v>1123</v>
      </c>
    </row>
    <row r="23" spans="1:15" x14ac:dyDescent="0.25">
      <c r="A23" s="6" t="s">
        <v>1120</v>
      </c>
      <c r="B23" s="6" t="e" cm="1" vm="1">
        <f t="array" ref="B23">_xlfn.LAMBDA(_xlpm.Text, _xlfn.REGEXEXTRACT(_xlpm.Text, "\d+", 1)*1)</f>
        <v>#VALUE!</v>
      </c>
      <c r="C23" s="6" t="s">
        <v>1122</v>
      </c>
    </row>
    <row r="24" spans="1:15" x14ac:dyDescent="0.25">
      <c r="A24" s="6" t="s">
        <v>98</v>
      </c>
      <c r="B24" s="10" t="e" cm="1" vm="1">
        <f t="array" ref="B24">_xlfn.LAMBDA(_xlpm.text,_xlpm.offset, _xlfn.LET(_xlpm.r, ROWS(_xlpm.text), _xlpm.c, COLUMNS(_xlpm.text), _xlpm.f, _xlfn.LAMBDA(_xlpm.s,_xlpm.o, _xlfn.LET(_xlpm.s_text, _xlpm.s &amp; "", _xlpm.n, LEN(_xlpm.s_text), _xlpm.chars, IF(_xlpm.n = 0, "", MID(_xlpm.s_text, _xlfn.SEQUENCE(_xlpm.n), 1)), _xlpm.shifted, IF(_xlpm.n = 0, "", _xlfn.MAP(_xlpm.chars, _xlfn.LAMBDA(_xlpm.ch, _xlfn.LET(_xlpm.code, CODE(_xlpm.ch), _xlpm.is_u, (_xlpm.code &gt;= 65) * (_xlpm.code &lt;= 90), _xlpm.is_l, (_xlpm.code &gt;= 97) * (_xlpm.code &lt;= 122), _xlpm.new_u, CHAR(65 + MOD(_xlpm.code - 65 + _xlpm.o, 26)), _xlpm.new_l, CHAR(97 + MOD(_xlpm.code - 97 + _xlpm.o, 26)), IF(_xlpm.is_u, _xlpm.new_u, IF(_xlpm.is_l, _xlpm.new_l, _xlpm.ch)))))), IF(_xlpm.n = 0, "", _xlfn.TEXTJOIN("", TRUE, _xlpm.shifted)))), _xlfn.MAKEARRAY(_xlpm.r, _xlpm.c, _xlfn.LAMBDA(_xlpm.i,_xlpm.j, _xlpm.f(INDEX(_xlpm.text, _xlpm.i, _xlpm.j), IF(ROWS(_xlpm.offset) * COLUMNS(_xlpm.offset) = 1, _xlpm.offset, INDEX(_xlpm.offset, _xlpm.i, _xlpm.j)))))))</f>
        <v>#VALUE!</v>
      </c>
      <c r="C24" s="6" t="s">
        <v>1111</v>
      </c>
    </row>
    <row r="25" spans="1:15" x14ac:dyDescent="0.25">
      <c r="A25" s="6" t="s">
        <v>1132</v>
      </c>
      <c r="B25" s="6" t="e" cm="1" vm="1">
        <f t="array" aca="1" ref="B25" ca="1">_xlfn.LAMBDA(_xlpm.Startzelle,_xlpm.Pfeil,_xlop.Rückwärts, _xlfn.LET(_xlpm.Z, ROW(INDIRECT(_xlpm.Startzelle)), _xlpm.S, COLUMN(INDIRECT(_xlpm.Startzelle)), _xlpm.Rück, _xlfn.IFS(OR(_xlpm.Rückwärts = 0, _xlfn.ISOMITTED(_xlpm.Rückwärts)), 1, _xlpm.Rückwärts = 1, -1, TRUE, 1), _xlpm.S_Off, _xlfn.SWITCH(_xlpm.Pfeil, "←", -1, "↖", -1, "↗", 1, "→", 1, "↙", -1, "↓", 0, "↘", 1, "↑", 0), _xlpm.Z_Off, _xlfn.SWITCH(_xlpm.Pfeil, "←", 0, "↖", -1, "↗", -1, "→", 0, "↙", 1, "↓", 1, "↘", 1, "↑", -1), ADDRESS((_xlpm.Z + _xlpm.Z_Off) * _xlpm.Rück, (_xlpm.S + _xlpm.S_Off) * _xlpm.Rück, 4)))</f>
        <v>#VALUE!</v>
      </c>
      <c r="C25" s="6" t="s">
        <v>1136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5">
      <c r="A26" s="6" t="s">
        <v>1084</v>
      </c>
      <c r="B26" s="9" t="e" cm="1" vm="1">
        <f t="array" ref="B26">_xlfn.LAMBDA(_xlpm.Feld,_xlfn.HSTACK(LEFT(SUBSTITUTE(_xlpm.Feld,"0","")),RIGHT(SUBSTITUTE(_xlpm.Feld,"0",""))))</f>
        <v>#VALUE!</v>
      </c>
      <c r="C26" s="6" t="s">
        <v>1097</v>
      </c>
    </row>
    <row r="27" spans="1:15" x14ac:dyDescent="0.25">
      <c r="A27" s="6" t="s">
        <v>1102</v>
      </c>
      <c r="B27" s="9" t="e" cm="1" vm="1">
        <f t="array" ref="B27">_xlfn.LAMBDA(_xlpm.KartenStapelZelle,SUBSTITUTE(MID(SUBSTITUTE(_xlpm.KartenStapelZelle,10,"x"),_xlfn.SEQUENCE(,LEN(_xlpm.KartenStapelZelle)/2,,2),2),"x",10))</f>
        <v>#VALUE!</v>
      </c>
      <c r="C27" s="6" t="s">
        <v>1103</v>
      </c>
    </row>
    <row r="28" spans="1:15" x14ac:dyDescent="0.25">
      <c r="A28" s="6" t="s">
        <v>86</v>
      </c>
      <c r="B28" s="6" t="e" cm="1" vm="1">
        <f t="array" ref="B28">_xlfn.LAMBDA(_xlpm.text,_xlfn.TEXTSPLIT(_xlpm.text,";"))</f>
        <v>#VALUE!</v>
      </c>
      <c r="C28" s="6" t="s">
        <v>1086</v>
      </c>
    </row>
    <row r="29" spans="1:15" x14ac:dyDescent="0.25">
      <c r="A29" s="6" t="s">
        <v>54</v>
      </c>
      <c r="B29" s="6" t="e" cm="1" vm="1">
        <f t="array" ref="B29">_xlfn.LAMBDA(_xlpm.Text,_xlop.Anzahl,_xlop.Richtung_V0_R1,_xlop.Zeile0Spalte1, _xlfn.LET(_xlpm.RI, IF(_xlfn.ISOMITTED(_xlpm.Richtung_V0_R1), 0, _xlpm.Richtung_V0_R1), _xlpm.ZS, IF(_xlfn.ISOMITTED(_xlpm.Zeile0Spalte1), 0, _xlpm.Zeile0Spalte1), _xlpm.AZ, _xlfn.IFS(_xlfn.ISOMITTED(_xlpm.Anzahl), 1, _xlpm.Anzahl &lt;= 0, NA(), TRUE, _xlpm.Anzahl), _xlpm.txt, MID(_xlpm.Text, _xlfn.SEQUENCE(, LEN(_xlpm.Text) / _xlpm.AZ, IF(_xlpm.RI = 1, LEN(_xlpm.Text), 1), IF(_xlpm.RI = 1, -1 * _xlpm.AZ, 1 * _xlpm.AZ)), 1), IF(_xlpm.ZS = 0, _xlpm.txt, TRANSPOSE(_xlpm.txt))))</f>
        <v>#VALUE!</v>
      </c>
      <c r="C29" s="6" t="s">
        <v>79</v>
      </c>
    </row>
    <row r="30" spans="1:15" x14ac:dyDescent="0.25">
      <c r="A30" s="6" t="s">
        <v>55</v>
      </c>
      <c r="B30" s="6" t="e" cm="1" vm="1">
        <f t="array" ref="B30">_xlfn.LAMBDA(_xlpm.Wert,_xlpm.Ersatzwert,IF(ISBLANK(_xlpm.Wert),_xlpm.Ersatzwert,_xlpm.Wert))</f>
        <v>#VALUE!</v>
      </c>
      <c r="C30" s="6" t="s">
        <v>56</v>
      </c>
    </row>
    <row r="31" spans="1:15" x14ac:dyDescent="0.25">
      <c r="A31" s="6" t="s">
        <v>77</v>
      </c>
      <c r="B31" s="6" t="e" cm="1" vm="1">
        <f t="array" ref="B31">_xlfn.LAMBDA(_xlpm.Würfel, IF(ZwischenWert(_xlfn.UNICODE(_xlpm.Würfel), 9856, 9861, 0), _xlfn.UNICODE(_xlpm.Würfel) - 9855, "#keinWürfel"))</f>
        <v>#VALUE!</v>
      </c>
      <c r="C31" s="6" t="s">
        <v>94</v>
      </c>
    </row>
    <row r="32" spans="1:15" x14ac:dyDescent="0.25">
      <c r="A32" s="6" t="s">
        <v>1129</v>
      </c>
      <c r="B32" s="6" t="e" vm="1">
        <f>_xlfn.LAMBDA(_xlpm.Matrix, _xlfn.UNIQUE(_xlfn.TOCOL(_xlpm.Matrix, 3)))</f>
        <v>#VALUE!</v>
      </c>
      <c r="C32" s="6" t="s">
        <v>1130</v>
      </c>
    </row>
    <row r="33" spans="1:3" x14ac:dyDescent="0.25">
      <c r="A33" s="6" t="s">
        <v>1141</v>
      </c>
      <c r="B33" s="6" t="e" cm="1" vm="1">
        <f t="array" ref="B33">_xlfn.LAMBDA(_xlpm.Martix,_xlpm.Filter1,_xlop.Filter2,_xlop.Filter3,_xlop.Filter4,_xlop.Filter5, _xlfn.LET(_xlpm.nr, ROWS(_xlpm.Martix), _xlpm.nc, COLUMNS(_xlpm.Martix), _xlpm.filt2, IF(_xlfn.ISOMITTED(_xlpm.Filter2), 1, _xlpm.Filter2), _xlpm.filt3, IF(_xlfn.ISOMITTED(_xlpm.Filter3), 1, _xlpm.Filter3), _xlpm.filt4, IF(_xlfn.ISOMITTED(_xlpm.Filter4), 1, _xlpm.Filter4), _xlpm.filt5, IF(_xlfn.ISOMITTED(_xlpm.Filter5), 1, _xlpm.Filter5), _xlpm.as_row_mask, _xlfn.LAMBDA(_xlpm.g, IF(AND(ROWS(_xlpm.g) = _xlpm.nr, COLUMNS(_xlpm.g) = 1, _xlpm.nr &gt; 1), _xlpm.g, 1)), _xlpm.as_col_mask, _xlfn.LAMBDA(_xlpm.g, IF(AND(COLUMNS(_xlpm.g) = _xlpm.nc, ROWS(_xlpm.g) = 1, _xlpm.nc &gt; 1), _xlpm.g, 1)), _xlpm.row_mask, _xlfn.SEQUENCE(_xlpm.nr, 1, 1, 0) * _xlpm.as_row_mask(_xlpm.Filter1) * _xlpm.as_row_mask(_xlpm.filt2) * _xlpm.as_row_mask(_xlpm.filt3) * _xlpm.as_row_mask(_xlpm.filt4) * _xlpm.as_row_mask(_xlpm.filt5), _xlpm.col_mask, _xlfn.SEQUENCE(1, _xlpm.nc, 1, 0) * _xlpm.as_col_mask(_xlpm.Filter1) * _xlpm.as_col_mask(_xlpm.filt2) * _xlpm.as_col_mask(_xlpm.filt3) * _xlpm.as_col_mask(_xlpm.filt4) * _xlpm.as_col_mask(_xlpm.filt5), IFERROR(_xlfn._xlws.FILTER(_xlfn._xlws.FILTER(_xlpm.Martix, _xlpm.row_mask), _xlpm.col_mask), "")))</f>
        <v>#VALUE!</v>
      </c>
      <c r="C33" s="6" t="s">
        <v>1142</v>
      </c>
    </row>
    <row r="34" spans="1:3" x14ac:dyDescent="0.25">
      <c r="A34" s="6" t="s">
        <v>64</v>
      </c>
      <c r="B34" s="6" t="e" cm="1" vm="1">
        <f t="array" ref="B34">_xlfn.LAMBDA(_xlpm.Bereich,_xlpm.kGrößte,_xlop.Alle0_Sum1_Mitt2, _xlfn.LET(_xlpm.ASM, _xlfn.IFS(_xlfn.ISOMITTED(_xlpm.Alle0_Sum1_Mitt2), 0, _xlpm.Alle0_Sum1_Mitt2 = 1, 1, _xlpm.Alle0_Sum1_Mitt2 = 2, 2, TRUE, 0), _xlpm.Zahl, LARGE(_xlfn.NUMBERVALUE(_xlpm.Bereich), _xlfn.SEQUENCE(_xlpm.kGrößte)), _xlfn.IFS(_xlpm.ASM = 0, _xlpm.Zahl, _xlpm.ASM = 1, SUM(_xlpm.Zahl), _xlpm.ASM = 2, AVERAGE(_xlpm.Zahl))))</f>
        <v>#VALUE!</v>
      </c>
      <c r="C34" s="6" t="s">
        <v>75</v>
      </c>
    </row>
    <row r="35" spans="1:3" x14ac:dyDescent="0.25">
      <c r="A35" s="6" t="s">
        <v>65</v>
      </c>
      <c r="B35" s="6" t="e" cm="1" vm="1">
        <f t="array" ref="B35">_xlfn.LAMBDA(_xlpm.Bereich,_xlpm.kKlein,_xlop.Alle0_Sum1_Mitt2, _xlfn.LET(_xlpm.ASM, _xlfn.IFS(_xlfn.ISOMITTED(_xlpm.Alle0_Sum1_Mitt2), 0, _xlpm.Alle0_Sum1_Mitt2 = 1, 1, _xlpm.Alle0_Sum1_Mitt2 = 2, 2, TRUE, 0), _xlpm.Zahl, SMALL(_xlfn.NUMBERVALUE(_xlpm.Bereich), _xlfn.SEQUENCE(_xlpm.kKlein)), _xlfn.IFS(_xlpm.ASM = 0, _xlpm.Zahl, _xlpm.ASM = 1, SUM(_xlpm.Zahl), _xlpm.ASM = 2, AVERAGE(_xlpm.Zahl))))</f>
        <v>#VALUE!</v>
      </c>
      <c r="C35" s="6" t="s">
        <v>74</v>
      </c>
    </row>
    <row r="36" spans="1:3" x14ac:dyDescent="0.25">
      <c r="A36" s="6" t="s">
        <v>1139</v>
      </c>
      <c r="B36" s="6" t="e" cm="1" vm="1">
        <f t="array" ref="B36">_xlfn.LAMBDA(_xlpm.a,_xlpm.b, IF(MOD(_xlpm.a, _xlpm.b) = 0, _xlpm.b, MOD(_xlpm.a, _xlpm.b)))</f>
        <v>#VALUE!</v>
      </c>
      <c r="C36" s="6" t="s">
        <v>1140</v>
      </c>
    </row>
    <row r="37" spans="1:3" x14ac:dyDescent="0.25">
      <c r="A37" s="6" t="s">
        <v>1137</v>
      </c>
      <c r="B37" s="6" t="e" cm="1" vm="1">
        <f t="array" ref="B37">_xlfn.LAMBDA(_xlpm.Text,_xlop.Trennzeichen, _xlfn.LET(_xlpm.use_delim_arg, NOT(_xlfn.ISOMITTED(_xlpm.Trennzeichen)), _xlpm.inferred_delim, IF(_xlpm.use_delim_arg, "", _xlfn.REGEXEXTRACT(_xlpm.Text, "[^A-Za-z0-9]")), _xlpm.can_split, IF(_xlpm.use_delim_arg, TRUE, NOT(ISERROR(_xlpm.inferred_delim))), _xlpm.eff_delim, IF(_xlpm.use_delim_arg, _xlpm.Trennzeichen, _xlpm.inferred_delim), _xlpm.base_split, IF(_xlpm.can_split, IFERROR(_xlfn.TOCOL(TRIM(_xlfn.TEXTSPLIT(_xlpm.Text, _xlpm.eff_delim))), _xlpm.Text), _xlpm.Text), _xlpm.split, _xlpm.base_split, _xlpm.one_entry, COUNTA(_xlpm.split) = 1, _xlpm.all_numbers, COUNTA(_xlfn._xlws.FILTER(_xlpm.split, ISNUMBER(_xlpm.split * 1))) = COUNTA(_xlpm.split), _xlpm.as_row_val, 0, _xlpm.core_result, IF(_xlpm.one_entry, _xlpm.Text, IF(_xlpm.all_numbers, _xlpm.split * 1, _xlpm.split)), IF(AND(_xlpm.as_row_val = 1, NOT(_xlpm.one_entry)), _xlfn.TOROW(_xlpm.core_result), _xlpm.core_result)))</f>
        <v>#VALUE!</v>
      </c>
      <c r="C37" s="6" t="s">
        <v>1138</v>
      </c>
    </row>
    <row r="38" spans="1:3" x14ac:dyDescent="0.25">
      <c r="A38" s="6" t="s">
        <v>84</v>
      </c>
      <c r="B38" s="6" t="e" cm="1" vm="1">
        <f t="array" ref="B38">_xlfn.LAMBDA(_xlpm.Zahl,_xlfn.TEXTBEFORE(_xlfn.TRANSLATE(BAHTTEXT(_xlpm.Zahl), , "de"), " Baht"))</f>
        <v>#VALUE!</v>
      </c>
      <c r="C38" s="6" t="s">
        <v>95</v>
      </c>
    </row>
    <row r="39" spans="1:3" x14ac:dyDescent="0.25">
      <c r="A39" s="6" t="s">
        <v>60</v>
      </c>
      <c r="B39" s="8" t="e" cm="1" vm="1">
        <f t="array" ref="B39">_xlfn.LAMBDA(_xlpm.Wert,_xlop.Vergleichswert1,_xlop.Vergleichswert2,_xlop.GröKleGlei0_GröKle1, _xlfn.LET(_xlpm.KW, _xlpm.Vergleichswert1, _xlpm.GW, _xlpm.Vergleichswert2, _xlpm.GKG, _xlfn.IFS(_xlfn.ISOMITTED(_xlpm.GröKleGlei0_GröKle1), 0, _xlpm.GröKleGlei0_GröKle1 = 1, 1, TRUE, 0), _xlfn.IFS(_xlpm.GKG = 0, AND(_xlpm.KW &lt;= _xlpm.Wert, _xlpm.GW &gt;= _xlpm.Wert), _xlpm.GKG = 1, AND(_xlpm.KW &lt; _xlpm.Wert, _xlpm.GW &gt; _xlpm.Wert))))</f>
        <v>#VALUE!</v>
      </c>
      <c r="C39" s="6" t="s">
        <v>1131</v>
      </c>
    </row>
    <row r="40" spans="1:3" x14ac:dyDescent="0.25">
      <c r="A40" s="6" t="s">
        <v>1118</v>
      </c>
      <c r="B40" s="6" t="e" cm="1" vm="1">
        <f t="array" ref="B40">_xlfn.LAMBDA(_xlpm.ErsteZahl,_xlpm.ZweiteZahl, _xlfn.LET(_xlpm.seq, _xlfn.SEQUENCE(_xlpm.ErsteZahl * _xlpm.ZweiteZahl, 1, 0), _xlfn.HSTACK(INT(_xlpm.seq / _xlpm.ZweiteZahl) + 1, MOD(_xlpm.seq, _xlpm.ZweiteZahl) + 1)))</f>
        <v>#VALUE!</v>
      </c>
      <c r="C40" s="6" t="s">
        <v>1119</v>
      </c>
    </row>
  </sheetData>
  <autoFilter ref="A1:D29" xr:uid="{704CB0B0-BE8B-452B-9565-2F222B0D7EA5}">
    <sortState xmlns:xlrd2="http://schemas.microsoft.com/office/spreadsheetml/2017/richdata2" ref="A2:D40">
      <sortCondition ref="A1:A29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F1C5-1870-4C73-A45A-287AF2F05C6B}">
  <sheetPr codeName="Tabelle2"/>
  <dimension ref="A1:B26"/>
  <sheetViews>
    <sheetView workbookViewId="0">
      <selection activeCell="I26" sqref="I26"/>
    </sheetView>
  </sheetViews>
  <sheetFormatPr baseColWidth="10" defaultRowHeight="15" x14ac:dyDescent="0.25"/>
  <cols>
    <col min="1" max="1" width="21.7109375" bestFit="1" customWidth="1"/>
  </cols>
  <sheetData>
    <row r="1" spans="1:2" x14ac:dyDescent="0.25">
      <c r="A1" s="15" t="s">
        <v>1125</v>
      </c>
    </row>
    <row r="2" spans="1:2" x14ac:dyDescent="0.25">
      <c r="A2" t="s">
        <v>47</v>
      </c>
      <c r="B2" t="s">
        <v>1152</v>
      </c>
    </row>
    <row r="3" spans="1:2" x14ac:dyDescent="0.25">
      <c r="A3" t="s">
        <v>777</v>
      </c>
      <c r="B3" t="s">
        <v>1153</v>
      </c>
    </row>
    <row r="4" spans="1:2" x14ac:dyDescent="0.25">
      <c r="A4" t="s">
        <v>981</v>
      </c>
      <c r="B4" t="s">
        <v>1154</v>
      </c>
    </row>
    <row r="5" spans="1:2" x14ac:dyDescent="0.25">
      <c r="A5" t="s">
        <v>48</v>
      </c>
      <c r="B5" t="s">
        <v>1128</v>
      </c>
    </row>
    <row r="6" spans="1:2" x14ac:dyDescent="0.25">
      <c r="A6" t="s">
        <v>49</v>
      </c>
      <c r="B6" t="s">
        <v>1128</v>
      </c>
    </row>
    <row r="7" spans="1:2" x14ac:dyDescent="0.25">
      <c r="A7" t="s">
        <v>801</v>
      </c>
      <c r="B7" t="s">
        <v>1155</v>
      </c>
    </row>
    <row r="8" spans="1:2" x14ac:dyDescent="0.25">
      <c r="A8" t="s">
        <v>8</v>
      </c>
      <c r="B8" t="s">
        <v>1156</v>
      </c>
    </row>
    <row r="9" spans="1:2" x14ac:dyDescent="0.25">
      <c r="A9" t="s">
        <v>9</v>
      </c>
      <c r="B9" t="s">
        <v>1087</v>
      </c>
    </row>
    <row r="10" spans="1:2" x14ac:dyDescent="0.25">
      <c r="A10" t="s">
        <v>58</v>
      </c>
      <c r="B10" t="s">
        <v>1127</v>
      </c>
    </row>
    <row r="11" spans="1:2" x14ac:dyDescent="0.25">
      <c r="A11" s="4" t="s">
        <v>515</v>
      </c>
      <c r="B11" t="s">
        <v>1109</v>
      </c>
    </row>
    <row r="12" spans="1:2" x14ac:dyDescent="0.25">
      <c r="A12" t="s">
        <v>399</v>
      </c>
      <c r="B12" t="s">
        <v>1110</v>
      </c>
    </row>
    <row r="13" spans="1:2" x14ac:dyDescent="0.25">
      <c r="A13" t="s">
        <v>869</v>
      </c>
      <c r="B13" t="s">
        <v>1112</v>
      </c>
    </row>
    <row r="14" spans="1:2" x14ac:dyDescent="0.25">
      <c r="A14" t="s">
        <v>585</v>
      </c>
      <c r="B14" t="s">
        <v>1091</v>
      </c>
    </row>
    <row r="15" spans="1:2" x14ac:dyDescent="0.25">
      <c r="A15" t="s">
        <v>775</v>
      </c>
    </row>
    <row r="16" spans="1:2" x14ac:dyDescent="0.25">
      <c r="A16" t="s">
        <v>979</v>
      </c>
    </row>
    <row r="18" spans="1:2" x14ac:dyDescent="0.25">
      <c r="A18" s="15" t="s">
        <v>83</v>
      </c>
    </row>
    <row r="19" spans="1:2" x14ac:dyDescent="0.25">
      <c r="A19" t="s">
        <v>78</v>
      </c>
    </row>
    <row r="20" spans="1:2" x14ac:dyDescent="0.25">
      <c r="A20" t="s">
        <v>82</v>
      </c>
    </row>
    <row r="21" spans="1:2" x14ac:dyDescent="0.25">
      <c r="A21" t="s">
        <v>573</v>
      </c>
    </row>
    <row r="23" spans="1:2" x14ac:dyDescent="0.25">
      <c r="A23" s="15" t="s">
        <v>1126</v>
      </c>
    </row>
    <row r="24" spans="1:2" x14ac:dyDescent="0.25">
      <c r="A24" t="s">
        <v>1089</v>
      </c>
      <c r="B24" t="s">
        <v>1090</v>
      </c>
    </row>
    <row r="25" spans="1:2" x14ac:dyDescent="0.25">
      <c r="A25" t="s">
        <v>1092</v>
      </c>
      <c r="B25" t="s">
        <v>1093</v>
      </c>
    </row>
    <row r="26" spans="1:2" x14ac:dyDescent="0.25">
      <c r="A26" t="s">
        <v>1095</v>
      </c>
      <c r="B26" t="s">
        <v>1096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D825-D5E8-4052-9830-679B9335BC72}">
  <sheetPr codeName="Tabelle3"/>
  <dimension ref="A1:J67"/>
  <sheetViews>
    <sheetView workbookViewId="0">
      <selection activeCell="K11" sqref="K11"/>
    </sheetView>
  </sheetViews>
  <sheetFormatPr baseColWidth="10" defaultRowHeight="15" x14ac:dyDescent="0.25"/>
  <cols>
    <col min="1" max="1" width="8.140625" bestFit="1" customWidth="1"/>
    <col min="2" max="2" width="8.28515625" bestFit="1" customWidth="1"/>
    <col min="3" max="3" width="13.28515625" customWidth="1"/>
    <col min="4" max="4" width="17.7109375" customWidth="1"/>
    <col min="5" max="5" width="16.42578125" customWidth="1"/>
  </cols>
  <sheetData>
    <row r="1" spans="1:10" ht="15.75" thickBot="1" x14ac:dyDescent="0.3">
      <c r="A1" s="1" t="s">
        <v>11</v>
      </c>
      <c r="B1" s="1" t="s">
        <v>12</v>
      </c>
      <c r="C1" s="1" t="s">
        <v>13</v>
      </c>
      <c r="D1" s="1" t="s">
        <v>34</v>
      </c>
      <c r="E1" s="1" t="s">
        <v>33</v>
      </c>
      <c r="G1" s="1" t="s">
        <v>41</v>
      </c>
      <c r="H1" s="1" t="s">
        <v>42</v>
      </c>
    </row>
    <row r="2" spans="1:10" ht="18.75" x14ac:dyDescent="0.3">
      <c r="A2" s="2" t="s">
        <v>14</v>
      </c>
      <c r="B2" s="2" t="s">
        <v>15</v>
      </c>
      <c r="C2" s="2" t="s">
        <v>15</v>
      </c>
      <c r="D2" s="2">
        <v>-1</v>
      </c>
      <c r="E2" s="2">
        <v>0</v>
      </c>
      <c r="G2" s="2" t="s">
        <v>35</v>
      </c>
      <c r="H2" s="2">
        <v>1</v>
      </c>
      <c r="I2">
        <f>_xlfn.UNICODE(G2)</f>
        <v>9856</v>
      </c>
      <c r="J2">
        <f>I2-9855</f>
        <v>1</v>
      </c>
    </row>
    <row r="3" spans="1:10" ht="18.75" x14ac:dyDescent="0.3">
      <c r="A3" s="2" t="s">
        <v>10</v>
      </c>
      <c r="B3" s="2" t="s">
        <v>16</v>
      </c>
      <c r="C3" s="2" t="s">
        <v>16</v>
      </c>
      <c r="D3" s="2">
        <v>1</v>
      </c>
      <c r="E3" s="2">
        <v>0</v>
      </c>
      <c r="G3" s="2" t="s">
        <v>36</v>
      </c>
      <c r="H3" s="2">
        <v>2</v>
      </c>
      <c r="I3">
        <f t="shared" ref="I3:I7" si="0">_xlfn.UNICODE(G3)</f>
        <v>9857</v>
      </c>
      <c r="J3">
        <f t="shared" ref="J3:J7" si="1">I3-9855</f>
        <v>2</v>
      </c>
    </row>
    <row r="4" spans="1:10" ht="18.75" x14ac:dyDescent="0.3">
      <c r="A4" s="2" t="s">
        <v>17</v>
      </c>
      <c r="B4" s="2" t="s">
        <v>18</v>
      </c>
      <c r="C4" s="2" t="s">
        <v>18</v>
      </c>
      <c r="D4" s="2">
        <v>0</v>
      </c>
      <c r="E4" s="2">
        <v>-1</v>
      </c>
      <c r="G4" s="2" t="s">
        <v>37</v>
      </c>
      <c r="H4" s="2">
        <v>3</v>
      </c>
      <c r="I4">
        <f t="shared" si="0"/>
        <v>9858</v>
      </c>
      <c r="J4">
        <f t="shared" si="1"/>
        <v>3</v>
      </c>
    </row>
    <row r="5" spans="1:10" ht="18.75" x14ac:dyDescent="0.3">
      <c r="A5" s="2" t="s">
        <v>19</v>
      </c>
      <c r="B5" s="2" t="s">
        <v>20</v>
      </c>
      <c r="C5" s="2" t="s">
        <v>20</v>
      </c>
      <c r="D5" s="2">
        <v>0</v>
      </c>
      <c r="E5" s="2">
        <v>1</v>
      </c>
      <c r="G5" s="2" t="s">
        <v>38</v>
      </c>
      <c r="H5" s="2">
        <v>4</v>
      </c>
      <c r="I5">
        <f t="shared" si="0"/>
        <v>9859</v>
      </c>
      <c r="J5">
        <f t="shared" si="1"/>
        <v>4</v>
      </c>
    </row>
    <row r="6" spans="1:10" ht="18.75" x14ac:dyDescent="0.3">
      <c r="A6" s="2" t="s">
        <v>21</v>
      </c>
      <c r="B6" s="2" t="s">
        <v>22</v>
      </c>
      <c r="C6" s="2" t="s">
        <v>23</v>
      </c>
      <c r="D6" s="2">
        <v>-1</v>
      </c>
      <c r="E6" s="2">
        <v>-1</v>
      </c>
      <c r="G6" s="2" t="s">
        <v>39</v>
      </c>
      <c r="H6" s="2">
        <v>5</v>
      </c>
      <c r="I6">
        <f t="shared" si="0"/>
        <v>9860</v>
      </c>
      <c r="J6">
        <f t="shared" si="1"/>
        <v>5</v>
      </c>
    </row>
    <row r="7" spans="1:10" ht="18.75" x14ac:dyDescent="0.3">
      <c r="A7" s="2" t="s">
        <v>24</v>
      </c>
      <c r="B7" s="2" t="s">
        <v>25</v>
      </c>
      <c r="C7" s="2" t="s">
        <v>26</v>
      </c>
      <c r="D7" s="2">
        <v>-1</v>
      </c>
      <c r="E7" s="2">
        <v>1</v>
      </c>
      <c r="G7" s="2" t="s">
        <v>40</v>
      </c>
      <c r="H7" s="2">
        <v>6</v>
      </c>
      <c r="I7">
        <f t="shared" si="0"/>
        <v>9861</v>
      </c>
      <c r="J7">
        <f t="shared" si="1"/>
        <v>6</v>
      </c>
    </row>
    <row r="8" spans="1:10" ht="18.75" x14ac:dyDescent="0.3">
      <c r="A8" s="2" t="s">
        <v>27</v>
      </c>
      <c r="B8" s="2" t="s">
        <v>28</v>
      </c>
      <c r="C8" s="2" t="s">
        <v>29</v>
      </c>
      <c r="D8" s="2">
        <v>1</v>
      </c>
      <c r="E8" s="2">
        <v>-1</v>
      </c>
    </row>
    <row r="9" spans="1:10" ht="18.75" x14ac:dyDescent="0.3">
      <c r="A9" s="2" t="s">
        <v>30</v>
      </c>
      <c r="B9" s="2" t="s">
        <v>31</v>
      </c>
      <c r="C9" s="2" t="s">
        <v>32</v>
      </c>
      <c r="D9" s="2">
        <v>1</v>
      </c>
      <c r="E9" s="2">
        <v>1</v>
      </c>
    </row>
    <row r="11" spans="1:10" ht="15.75" thickBot="1" x14ac:dyDescent="0.3"/>
    <row r="12" spans="1:10" ht="30" x14ac:dyDescent="0.25">
      <c r="A12" s="12" t="s">
        <v>119</v>
      </c>
      <c r="B12" s="12" t="s">
        <v>1034</v>
      </c>
      <c r="C12" s="12" t="s">
        <v>1083</v>
      </c>
      <c r="D12" s="12" t="s">
        <v>118</v>
      </c>
      <c r="E12" s="12" t="s">
        <v>1035</v>
      </c>
      <c r="F12" s="12" t="s">
        <v>42</v>
      </c>
      <c r="G12" s="12" t="s">
        <v>117</v>
      </c>
    </row>
    <row r="13" spans="1:10" x14ac:dyDescent="0.25">
      <c r="A13" s="13" t="s">
        <v>1107</v>
      </c>
      <c r="B13" s="13" t="s">
        <v>1107</v>
      </c>
      <c r="C13" s="13" t="s">
        <v>1107</v>
      </c>
      <c r="D13" s="13" t="s">
        <v>1107</v>
      </c>
      <c r="E13" s="13" t="s">
        <v>1107</v>
      </c>
      <c r="F13" s="14">
        <v>0</v>
      </c>
      <c r="G13" s="14">
        <v>0</v>
      </c>
    </row>
    <row r="14" spans="1:10" x14ac:dyDescent="0.25">
      <c r="A14" s="14" t="s">
        <v>1036</v>
      </c>
      <c r="B14" s="14" t="s">
        <v>104</v>
      </c>
      <c r="C14" s="14" t="s">
        <v>110</v>
      </c>
      <c r="D14" s="14" t="s">
        <v>108</v>
      </c>
      <c r="E14" s="14" t="s">
        <v>120</v>
      </c>
      <c r="F14" s="14">
        <v>2</v>
      </c>
      <c r="G14" s="14">
        <v>2</v>
      </c>
    </row>
    <row r="15" spans="1:10" x14ac:dyDescent="0.25">
      <c r="A15" s="14" t="s">
        <v>1037</v>
      </c>
      <c r="B15" s="14" t="s">
        <v>104</v>
      </c>
      <c r="C15" s="14" t="s">
        <v>110</v>
      </c>
      <c r="D15" s="14" t="s">
        <v>108</v>
      </c>
      <c r="E15" s="14" t="s">
        <v>121</v>
      </c>
      <c r="F15" s="14">
        <v>3</v>
      </c>
      <c r="G15" s="14">
        <v>3</v>
      </c>
    </row>
    <row r="16" spans="1:10" x14ac:dyDescent="0.25">
      <c r="A16" s="14" t="s">
        <v>1038</v>
      </c>
      <c r="B16" s="14" t="s">
        <v>104</v>
      </c>
      <c r="C16" s="14" t="s">
        <v>110</v>
      </c>
      <c r="D16" s="14" t="s">
        <v>108</v>
      </c>
      <c r="E16" s="14" t="s">
        <v>122</v>
      </c>
      <c r="F16" s="14">
        <v>4</v>
      </c>
      <c r="G16" s="14">
        <v>4</v>
      </c>
    </row>
    <row r="17" spans="1:7" x14ac:dyDescent="0.25">
      <c r="A17" s="14" t="s">
        <v>1039</v>
      </c>
      <c r="B17" s="14" t="s">
        <v>104</v>
      </c>
      <c r="C17" s="14" t="s">
        <v>110</v>
      </c>
      <c r="D17" s="14" t="s">
        <v>108</v>
      </c>
      <c r="E17" s="14" t="s">
        <v>123</v>
      </c>
      <c r="F17" s="14">
        <v>5</v>
      </c>
      <c r="G17" s="14">
        <v>5</v>
      </c>
    </row>
    <row r="18" spans="1:7" x14ac:dyDescent="0.25">
      <c r="A18" s="14" t="s">
        <v>1040</v>
      </c>
      <c r="B18" s="14" t="s">
        <v>104</v>
      </c>
      <c r="C18" s="14" t="s">
        <v>110</v>
      </c>
      <c r="D18" s="14" t="s">
        <v>108</v>
      </c>
      <c r="E18" s="14" t="s">
        <v>124</v>
      </c>
      <c r="F18" s="14">
        <v>6</v>
      </c>
      <c r="G18" s="14">
        <v>6</v>
      </c>
    </row>
    <row r="19" spans="1:7" x14ac:dyDescent="0.25">
      <c r="A19" s="14" t="s">
        <v>1041</v>
      </c>
      <c r="B19" s="14" t="s">
        <v>104</v>
      </c>
      <c r="C19" s="14" t="s">
        <v>110</v>
      </c>
      <c r="D19" s="14" t="s">
        <v>108</v>
      </c>
      <c r="E19" s="14" t="s">
        <v>125</v>
      </c>
      <c r="F19" s="14">
        <v>7</v>
      </c>
      <c r="G19" s="14">
        <v>7</v>
      </c>
    </row>
    <row r="20" spans="1:7" x14ac:dyDescent="0.25">
      <c r="A20" s="14" t="s">
        <v>1042</v>
      </c>
      <c r="B20" s="14" t="s">
        <v>104</v>
      </c>
      <c r="C20" s="14" t="s">
        <v>110</v>
      </c>
      <c r="D20" s="14" t="s">
        <v>108</v>
      </c>
      <c r="E20" s="14" t="s">
        <v>126</v>
      </c>
      <c r="F20" s="14">
        <v>8</v>
      </c>
      <c r="G20" s="14">
        <v>8</v>
      </c>
    </row>
    <row r="21" spans="1:7" x14ac:dyDescent="0.25">
      <c r="A21" s="14" t="s">
        <v>1043</v>
      </c>
      <c r="B21" s="14" t="s">
        <v>104</v>
      </c>
      <c r="C21" s="14" t="s">
        <v>110</v>
      </c>
      <c r="D21" s="14" t="s">
        <v>108</v>
      </c>
      <c r="E21" s="14" t="s">
        <v>127</v>
      </c>
      <c r="F21" s="14">
        <v>9</v>
      </c>
      <c r="G21" s="14">
        <v>9</v>
      </c>
    </row>
    <row r="22" spans="1:7" x14ac:dyDescent="0.25">
      <c r="A22" s="14" t="s">
        <v>1098</v>
      </c>
      <c r="B22" s="14" t="s">
        <v>104</v>
      </c>
      <c r="C22" s="14" t="s">
        <v>110</v>
      </c>
      <c r="D22" s="14" t="s">
        <v>108</v>
      </c>
      <c r="E22" s="14" t="s">
        <v>128</v>
      </c>
      <c r="F22" s="14">
        <v>10</v>
      </c>
      <c r="G22" s="14">
        <v>10</v>
      </c>
    </row>
    <row r="23" spans="1:7" x14ac:dyDescent="0.25">
      <c r="A23" s="14" t="s">
        <v>1044</v>
      </c>
      <c r="B23" s="14" t="s">
        <v>104</v>
      </c>
      <c r="C23" s="14" t="s">
        <v>110</v>
      </c>
      <c r="D23" s="14" t="s">
        <v>108</v>
      </c>
      <c r="E23" s="14" t="s">
        <v>114</v>
      </c>
      <c r="F23" s="14">
        <v>10</v>
      </c>
      <c r="G23" s="14">
        <v>11</v>
      </c>
    </row>
    <row r="24" spans="1:7" x14ac:dyDescent="0.25">
      <c r="A24" s="14" t="s">
        <v>99</v>
      </c>
      <c r="B24" s="14" t="s">
        <v>104</v>
      </c>
      <c r="C24" s="14" t="s">
        <v>110</v>
      </c>
      <c r="D24" s="14" t="s">
        <v>108</v>
      </c>
      <c r="E24" s="14" t="s">
        <v>115</v>
      </c>
      <c r="F24" s="14">
        <v>10</v>
      </c>
      <c r="G24" s="14">
        <v>12</v>
      </c>
    </row>
    <row r="25" spans="1:7" x14ac:dyDescent="0.25">
      <c r="A25" s="14" t="s">
        <v>1045</v>
      </c>
      <c r="B25" s="14" t="s">
        <v>104</v>
      </c>
      <c r="C25" s="14" t="s">
        <v>110</v>
      </c>
      <c r="D25" s="14" t="s">
        <v>108</v>
      </c>
      <c r="E25" s="14" t="s">
        <v>116</v>
      </c>
      <c r="F25" s="14">
        <v>10</v>
      </c>
      <c r="G25" s="14">
        <v>13</v>
      </c>
    </row>
    <row r="26" spans="1:7" x14ac:dyDescent="0.25">
      <c r="A26" s="14" t="s">
        <v>1046</v>
      </c>
      <c r="B26" s="14" t="s">
        <v>104</v>
      </c>
      <c r="C26" s="14" t="s">
        <v>110</v>
      </c>
      <c r="D26" s="14" t="s">
        <v>108</v>
      </c>
      <c r="E26" s="14" t="s">
        <v>1</v>
      </c>
      <c r="F26" s="14">
        <v>10</v>
      </c>
      <c r="G26" s="14">
        <v>14</v>
      </c>
    </row>
    <row r="27" spans="1:7" x14ac:dyDescent="0.25">
      <c r="A27" s="14" t="s">
        <v>1047</v>
      </c>
      <c r="B27" s="14" t="s">
        <v>105</v>
      </c>
      <c r="C27" s="14" t="s">
        <v>111</v>
      </c>
      <c r="D27" s="14" t="s">
        <v>108</v>
      </c>
      <c r="E27" s="14" t="s">
        <v>120</v>
      </c>
      <c r="F27" s="14">
        <v>2</v>
      </c>
      <c r="G27" s="14">
        <v>2</v>
      </c>
    </row>
    <row r="28" spans="1:7" x14ac:dyDescent="0.25">
      <c r="A28" s="14" t="s">
        <v>1048</v>
      </c>
      <c r="B28" s="14" t="s">
        <v>105</v>
      </c>
      <c r="C28" s="14" t="s">
        <v>111</v>
      </c>
      <c r="D28" s="14" t="s">
        <v>108</v>
      </c>
      <c r="E28" s="14" t="s">
        <v>121</v>
      </c>
      <c r="F28" s="14">
        <v>3</v>
      </c>
      <c r="G28" s="14">
        <v>3</v>
      </c>
    </row>
    <row r="29" spans="1:7" x14ac:dyDescent="0.25">
      <c r="A29" s="14" t="s">
        <v>1049</v>
      </c>
      <c r="B29" s="14" t="s">
        <v>105</v>
      </c>
      <c r="C29" s="14" t="s">
        <v>111</v>
      </c>
      <c r="D29" s="14" t="s">
        <v>108</v>
      </c>
      <c r="E29" s="14" t="s">
        <v>122</v>
      </c>
      <c r="F29" s="14">
        <v>4</v>
      </c>
      <c r="G29" s="14">
        <v>4</v>
      </c>
    </row>
    <row r="30" spans="1:7" x14ac:dyDescent="0.25">
      <c r="A30" s="14" t="s">
        <v>1050</v>
      </c>
      <c r="B30" s="14" t="s">
        <v>105</v>
      </c>
      <c r="C30" s="14" t="s">
        <v>111</v>
      </c>
      <c r="D30" s="14" t="s">
        <v>108</v>
      </c>
      <c r="E30" s="14" t="s">
        <v>123</v>
      </c>
      <c r="F30" s="14">
        <v>5</v>
      </c>
      <c r="G30" s="14">
        <v>5</v>
      </c>
    </row>
    <row r="31" spans="1:7" x14ac:dyDescent="0.25">
      <c r="A31" s="14" t="s">
        <v>1051</v>
      </c>
      <c r="B31" s="14" t="s">
        <v>105</v>
      </c>
      <c r="C31" s="14" t="s">
        <v>111</v>
      </c>
      <c r="D31" s="14" t="s">
        <v>108</v>
      </c>
      <c r="E31" s="14" t="s">
        <v>124</v>
      </c>
      <c r="F31" s="14">
        <v>6</v>
      </c>
      <c r="G31" s="14">
        <v>6</v>
      </c>
    </row>
    <row r="32" spans="1:7" x14ac:dyDescent="0.25">
      <c r="A32" s="14" t="s">
        <v>1052</v>
      </c>
      <c r="B32" s="14" t="s">
        <v>105</v>
      </c>
      <c r="C32" s="14" t="s">
        <v>111</v>
      </c>
      <c r="D32" s="14" t="s">
        <v>108</v>
      </c>
      <c r="E32" s="14" t="s">
        <v>125</v>
      </c>
      <c r="F32" s="14">
        <v>7</v>
      </c>
      <c r="G32" s="14">
        <v>7</v>
      </c>
    </row>
    <row r="33" spans="1:7" x14ac:dyDescent="0.25">
      <c r="A33" s="14" t="s">
        <v>1053</v>
      </c>
      <c r="B33" s="14" t="s">
        <v>105</v>
      </c>
      <c r="C33" s="14" t="s">
        <v>111</v>
      </c>
      <c r="D33" s="14" t="s">
        <v>108</v>
      </c>
      <c r="E33" s="14" t="s">
        <v>126</v>
      </c>
      <c r="F33" s="14">
        <v>8</v>
      </c>
      <c r="G33" s="14">
        <v>8</v>
      </c>
    </row>
    <row r="34" spans="1:7" x14ac:dyDescent="0.25">
      <c r="A34" s="14" t="s">
        <v>1054</v>
      </c>
      <c r="B34" s="14" t="s">
        <v>105</v>
      </c>
      <c r="C34" s="14" t="s">
        <v>111</v>
      </c>
      <c r="D34" s="14" t="s">
        <v>108</v>
      </c>
      <c r="E34" s="14" t="s">
        <v>127</v>
      </c>
      <c r="F34" s="14">
        <v>9</v>
      </c>
      <c r="G34" s="14">
        <v>9</v>
      </c>
    </row>
    <row r="35" spans="1:7" x14ac:dyDescent="0.25">
      <c r="A35" s="14" t="s">
        <v>1099</v>
      </c>
      <c r="B35" s="14" t="s">
        <v>105</v>
      </c>
      <c r="C35" s="14" t="s">
        <v>111</v>
      </c>
      <c r="D35" s="14" t="s">
        <v>108</v>
      </c>
      <c r="E35" s="14" t="s">
        <v>128</v>
      </c>
      <c r="F35" s="14">
        <v>10</v>
      </c>
      <c r="G35" s="14">
        <v>10</v>
      </c>
    </row>
    <row r="36" spans="1:7" x14ac:dyDescent="0.25">
      <c r="A36" s="14" t="s">
        <v>1055</v>
      </c>
      <c r="B36" s="14" t="s">
        <v>105</v>
      </c>
      <c r="C36" s="14" t="s">
        <v>111</v>
      </c>
      <c r="D36" s="14" t="s">
        <v>108</v>
      </c>
      <c r="E36" s="14" t="s">
        <v>114</v>
      </c>
      <c r="F36" s="14">
        <v>10</v>
      </c>
      <c r="G36" s="14">
        <v>11</v>
      </c>
    </row>
    <row r="37" spans="1:7" x14ac:dyDescent="0.25">
      <c r="A37" s="14" t="s">
        <v>100</v>
      </c>
      <c r="B37" s="14" t="s">
        <v>105</v>
      </c>
      <c r="C37" s="14" t="s">
        <v>111</v>
      </c>
      <c r="D37" s="14" t="s">
        <v>108</v>
      </c>
      <c r="E37" s="14" t="s">
        <v>115</v>
      </c>
      <c r="F37" s="14">
        <v>10</v>
      </c>
      <c r="G37" s="14">
        <v>12</v>
      </c>
    </row>
    <row r="38" spans="1:7" x14ac:dyDescent="0.25">
      <c r="A38" s="14" t="s">
        <v>1056</v>
      </c>
      <c r="B38" s="14" t="s">
        <v>105</v>
      </c>
      <c r="C38" s="14" t="s">
        <v>111</v>
      </c>
      <c r="D38" s="14" t="s">
        <v>108</v>
      </c>
      <c r="E38" s="14" t="s">
        <v>116</v>
      </c>
      <c r="F38" s="14">
        <v>10</v>
      </c>
      <c r="G38" s="14">
        <v>13</v>
      </c>
    </row>
    <row r="39" spans="1:7" x14ac:dyDescent="0.25">
      <c r="A39" s="14" t="s">
        <v>1057</v>
      </c>
      <c r="B39" s="14" t="s">
        <v>105</v>
      </c>
      <c r="C39" s="14" t="s">
        <v>111</v>
      </c>
      <c r="D39" s="14" t="s">
        <v>108</v>
      </c>
      <c r="E39" s="14" t="s">
        <v>1</v>
      </c>
      <c r="F39" s="14">
        <v>10</v>
      </c>
      <c r="G39" s="14">
        <v>14</v>
      </c>
    </row>
    <row r="40" spans="1:7" x14ac:dyDescent="0.25">
      <c r="A40" s="14" t="s">
        <v>1058</v>
      </c>
      <c r="B40" s="14" t="s">
        <v>106</v>
      </c>
      <c r="C40" s="14" t="s">
        <v>112</v>
      </c>
      <c r="D40" s="14" t="s">
        <v>109</v>
      </c>
      <c r="E40" s="14" t="s">
        <v>120</v>
      </c>
      <c r="F40" s="14">
        <v>2</v>
      </c>
      <c r="G40" s="14">
        <v>2</v>
      </c>
    </row>
    <row r="41" spans="1:7" x14ac:dyDescent="0.25">
      <c r="A41" s="14" t="s">
        <v>103</v>
      </c>
      <c r="B41" s="14" t="s">
        <v>106</v>
      </c>
      <c r="C41" s="14" t="s">
        <v>112</v>
      </c>
      <c r="D41" s="14" t="s">
        <v>109</v>
      </c>
      <c r="E41" s="14" t="s">
        <v>121</v>
      </c>
      <c r="F41" s="14">
        <v>3</v>
      </c>
      <c r="G41" s="14">
        <v>3</v>
      </c>
    </row>
    <row r="42" spans="1:7" x14ac:dyDescent="0.25">
      <c r="A42" s="14" t="s">
        <v>1059</v>
      </c>
      <c r="B42" s="14" t="s">
        <v>106</v>
      </c>
      <c r="C42" s="14" t="s">
        <v>112</v>
      </c>
      <c r="D42" s="14" t="s">
        <v>109</v>
      </c>
      <c r="E42" s="14" t="s">
        <v>122</v>
      </c>
      <c r="F42" s="14">
        <v>4</v>
      </c>
      <c r="G42" s="14">
        <v>4</v>
      </c>
    </row>
    <row r="43" spans="1:7" x14ac:dyDescent="0.25">
      <c r="A43" s="14" t="s">
        <v>1060</v>
      </c>
      <c r="B43" s="14" t="s">
        <v>106</v>
      </c>
      <c r="C43" s="14" t="s">
        <v>112</v>
      </c>
      <c r="D43" s="14" t="s">
        <v>109</v>
      </c>
      <c r="E43" s="14" t="s">
        <v>123</v>
      </c>
      <c r="F43" s="14">
        <v>5</v>
      </c>
      <c r="G43" s="14">
        <v>5</v>
      </c>
    </row>
    <row r="44" spans="1:7" x14ac:dyDescent="0.25">
      <c r="A44" s="14" t="s">
        <v>1061</v>
      </c>
      <c r="B44" s="14" t="s">
        <v>106</v>
      </c>
      <c r="C44" s="14" t="s">
        <v>112</v>
      </c>
      <c r="D44" s="14" t="s">
        <v>109</v>
      </c>
      <c r="E44" s="14" t="s">
        <v>124</v>
      </c>
      <c r="F44" s="14">
        <v>6</v>
      </c>
      <c r="G44" s="14">
        <v>6</v>
      </c>
    </row>
    <row r="45" spans="1:7" x14ac:dyDescent="0.25">
      <c r="A45" s="14" t="s">
        <v>1062</v>
      </c>
      <c r="B45" s="14" t="s">
        <v>106</v>
      </c>
      <c r="C45" s="14" t="s">
        <v>112</v>
      </c>
      <c r="D45" s="14" t="s">
        <v>109</v>
      </c>
      <c r="E45" s="14" t="s">
        <v>125</v>
      </c>
      <c r="F45" s="14">
        <v>7</v>
      </c>
      <c r="G45" s="14">
        <v>7</v>
      </c>
    </row>
    <row r="46" spans="1:7" x14ac:dyDescent="0.25">
      <c r="A46" s="14" t="s">
        <v>1063</v>
      </c>
      <c r="B46" s="14" t="s">
        <v>106</v>
      </c>
      <c r="C46" s="14" t="s">
        <v>112</v>
      </c>
      <c r="D46" s="14" t="s">
        <v>109</v>
      </c>
      <c r="E46" s="14" t="s">
        <v>126</v>
      </c>
      <c r="F46" s="14">
        <v>8</v>
      </c>
      <c r="G46" s="14">
        <v>8</v>
      </c>
    </row>
    <row r="47" spans="1:7" x14ac:dyDescent="0.25">
      <c r="A47" s="14" t="s">
        <v>1064</v>
      </c>
      <c r="B47" s="14" t="s">
        <v>106</v>
      </c>
      <c r="C47" s="14" t="s">
        <v>112</v>
      </c>
      <c r="D47" s="14" t="s">
        <v>109</v>
      </c>
      <c r="E47" s="14" t="s">
        <v>127</v>
      </c>
      <c r="F47" s="14">
        <v>9</v>
      </c>
      <c r="G47" s="14">
        <v>9</v>
      </c>
    </row>
    <row r="48" spans="1:7" x14ac:dyDescent="0.25">
      <c r="A48" s="14" t="s">
        <v>1100</v>
      </c>
      <c r="B48" s="14" t="s">
        <v>106</v>
      </c>
      <c r="C48" s="14" t="s">
        <v>112</v>
      </c>
      <c r="D48" s="14" t="s">
        <v>109</v>
      </c>
      <c r="E48" s="14" t="s">
        <v>128</v>
      </c>
      <c r="F48" s="14">
        <v>10</v>
      </c>
      <c r="G48" s="14">
        <v>10</v>
      </c>
    </row>
    <row r="49" spans="1:7" x14ac:dyDescent="0.25">
      <c r="A49" s="14" t="s">
        <v>1065</v>
      </c>
      <c r="B49" s="14" t="s">
        <v>106</v>
      </c>
      <c r="C49" s="14" t="s">
        <v>112</v>
      </c>
      <c r="D49" s="14" t="s">
        <v>109</v>
      </c>
      <c r="E49" s="14" t="s">
        <v>114</v>
      </c>
      <c r="F49" s="14">
        <v>10</v>
      </c>
      <c r="G49" s="14">
        <v>11</v>
      </c>
    </row>
    <row r="50" spans="1:7" x14ac:dyDescent="0.25">
      <c r="A50" s="14" t="s">
        <v>1066</v>
      </c>
      <c r="B50" s="14" t="s">
        <v>106</v>
      </c>
      <c r="C50" s="14" t="s">
        <v>112</v>
      </c>
      <c r="D50" s="14" t="s">
        <v>109</v>
      </c>
      <c r="E50" s="14" t="s">
        <v>115</v>
      </c>
      <c r="F50" s="14">
        <v>10</v>
      </c>
      <c r="G50" s="14">
        <v>12</v>
      </c>
    </row>
    <row r="51" spans="1:7" x14ac:dyDescent="0.25">
      <c r="A51" s="14" t="s">
        <v>101</v>
      </c>
      <c r="B51" s="14" t="s">
        <v>106</v>
      </c>
      <c r="C51" s="14" t="s">
        <v>112</v>
      </c>
      <c r="D51" s="14" t="s">
        <v>109</v>
      </c>
      <c r="E51" s="14" t="s">
        <v>116</v>
      </c>
      <c r="F51" s="14">
        <v>10</v>
      </c>
      <c r="G51" s="14">
        <v>13</v>
      </c>
    </row>
    <row r="52" spans="1:7" x14ac:dyDescent="0.25">
      <c r="A52" s="14" t="s">
        <v>1067</v>
      </c>
      <c r="B52" s="14" t="s">
        <v>106</v>
      </c>
      <c r="C52" s="14" t="s">
        <v>112</v>
      </c>
      <c r="D52" s="14" t="s">
        <v>109</v>
      </c>
      <c r="E52" s="14" t="s">
        <v>1</v>
      </c>
      <c r="F52" s="14">
        <v>10</v>
      </c>
      <c r="G52" s="14">
        <v>14</v>
      </c>
    </row>
    <row r="53" spans="1:7" x14ac:dyDescent="0.25">
      <c r="A53" s="14" t="s">
        <v>1068</v>
      </c>
      <c r="B53" s="14" t="s">
        <v>107</v>
      </c>
      <c r="C53" s="14" t="s">
        <v>113</v>
      </c>
      <c r="D53" s="14" t="s">
        <v>109</v>
      </c>
      <c r="E53" s="14" t="s">
        <v>120</v>
      </c>
      <c r="F53" s="14">
        <v>2</v>
      </c>
      <c r="G53" s="14">
        <v>2</v>
      </c>
    </row>
    <row r="54" spans="1:7" x14ac:dyDescent="0.25">
      <c r="A54" s="14" t="s">
        <v>102</v>
      </c>
      <c r="B54" s="14" t="s">
        <v>107</v>
      </c>
      <c r="C54" s="14" t="s">
        <v>113</v>
      </c>
      <c r="D54" s="14" t="s">
        <v>109</v>
      </c>
      <c r="E54" s="14" t="s">
        <v>121</v>
      </c>
      <c r="F54" s="14">
        <v>3</v>
      </c>
      <c r="G54" s="14">
        <v>3</v>
      </c>
    </row>
    <row r="55" spans="1:7" x14ac:dyDescent="0.25">
      <c r="A55" s="14" t="s">
        <v>1069</v>
      </c>
      <c r="B55" s="14" t="s">
        <v>107</v>
      </c>
      <c r="C55" s="14" t="s">
        <v>113</v>
      </c>
      <c r="D55" s="14" t="s">
        <v>109</v>
      </c>
      <c r="E55" s="14" t="s">
        <v>122</v>
      </c>
      <c r="F55" s="14">
        <v>4</v>
      </c>
      <c r="G55" s="14">
        <v>4</v>
      </c>
    </row>
    <row r="56" spans="1:7" x14ac:dyDescent="0.25">
      <c r="A56" s="14" t="s">
        <v>1070</v>
      </c>
      <c r="B56" s="14" t="s">
        <v>107</v>
      </c>
      <c r="C56" s="14" t="s">
        <v>113</v>
      </c>
      <c r="D56" s="14" t="s">
        <v>109</v>
      </c>
      <c r="E56" s="14" t="s">
        <v>123</v>
      </c>
      <c r="F56" s="14">
        <v>5</v>
      </c>
      <c r="G56" s="14">
        <v>5</v>
      </c>
    </row>
    <row r="57" spans="1:7" x14ac:dyDescent="0.25">
      <c r="A57" s="14" t="s">
        <v>1071</v>
      </c>
      <c r="B57" s="14" t="s">
        <v>107</v>
      </c>
      <c r="C57" s="14" t="s">
        <v>113</v>
      </c>
      <c r="D57" s="14" t="s">
        <v>109</v>
      </c>
      <c r="E57" s="14" t="s">
        <v>124</v>
      </c>
      <c r="F57" s="14">
        <v>6</v>
      </c>
      <c r="G57" s="14">
        <v>6</v>
      </c>
    </row>
    <row r="58" spans="1:7" x14ac:dyDescent="0.25">
      <c r="A58" s="14" t="s">
        <v>1072</v>
      </c>
      <c r="B58" s="14" t="s">
        <v>107</v>
      </c>
      <c r="C58" s="14" t="s">
        <v>113</v>
      </c>
      <c r="D58" s="14" t="s">
        <v>109</v>
      </c>
      <c r="E58" s="14" t="s">
        <v>125</v>
      </c>
      <c r="F58" s="14">
        <v>7</v>
      </c>
      <c r="G58" s="14">
        <v>7</v>
      </c>
    </row>
    <row r="59" spans="1:7" x14ac:dyDescent="0.25">
      <c r="A59" s="14" t="s">
        <v>1073</v>
      </c>
      <c r="B59" s="14" t="s">
        <v>107</v>
      </c>
      <c r="C59" s="14" t="s">
        <v>113</v>
      </c>
      <c r="D59" s="14" t="s">
        <v>109</v>
      </c>
      <c r="E59" s="14" t="s">
        <v>126</v>
      </c>
      <c r="F59" s="14">
        <v>8</v>
      </c>
      <c r="G59" s="14">
        <v>8</v>
      </c>
    </row>
    <row r="60" spans="1:7" x14ac:dyDescent="0.25">
      <c r="A60" s="14" t="s">
        <v>1074</v>
      </c>
      <c r="B60" s="14" t="s">
        <v>107</v>
      </c>
      <c r="C60" s="14" t="s">
        <v>113</v>
      </c>
      <c r="D60" s="14" t="s">
        <v>109</v>
      </c>
      <c r="E60" s="14" t="s">
        <v>127</v>
      </c>
      <c r="F60" s="14">
        <v>9</v>
      </c>
      <c r="G60" s="14">
        <v>9</v>
      </c>
    </row>
    <row r="61" spans="1:7" x14ac:dyDescent="0.25">
      <c r="A61" s="14" t="s">
        <v>1101</v>
      </c>
      <c r="B61" s="14" t="s">
        <v>107</v>
      </c>
      <c r="C61" s="14" t="s">
        <v>113</v>
      </c>
      <c r="D61" s="14" t="s">
        <v>109</v>
      </c>
      <c r="E61" s="14" t="s">
        <v>128</v>
      </c>
      <c r="F61" s="14">
        <v>10</v>
      </c>
      <c r="G61" s="14">
        <v>10</v>
      </c>
    </row>
    <row r="62" spans="1:7" x14ac:dyDescent="0.25">
      <c r="A62" s="14" t="s">
        <v>1075</v>
      </c>
      <c r="B62" s="14" t="s">
        <v>107</v>
      </c>
      <c r="C62" s="14" t="s">
        <v>113</v>
      </c>
      <c r="D62" s="14" t="s">
        <v>109</v>
      </c>
      <c r="E62" s="14" t="s">
        <v>114</v>
      </c>
      <c r="F62" s="14">
        <v>10</v>
      </c>
      <c r="G62" s="14">
        <v>11</v>
      </c>
    </row>
    <row r="63" spans="1:7" x14ac:dyDescent="0.25">
      <c r="A63" s="14" t="s">
        <v>1076</v>
      </c>
      <c r="B63" s="14" t="s">
        <v>107</v>
      </c>
      <c r="C63" s="14" t="s">
        <v>113</v>
      </c>
      <c r="D63" s="14" t="s">
        <v>109</v>
      </c>
      <c r="E63" s="14" t="s">
        <v>115</v>
      </c>
      <c r="F63" s="14">
        <v>10</v>
      </c>
      <c r="G63" s="14">
        <v>12</v>
      </c>
    </row>
    <row r="64" spans="1:7" x14ac:dyDescent="0.25">
      <c r="A64" s="14" t="s">
        <v>1077</v>
      </c>
      <c r="B64" s="14" t="s">
        <v>107</v>
      </c>
      <c r="C64" s="14" t="s">
        <v>113</v>
      </c>
      <c r="D64" s="14" t="s">
        <v>109</v>
      </c>
      <c r="E64" s="14" t="s">
        <v>116</v>
      </c>
      <c r="F64" s="14">
        <v>10</v>
      </c>
      <c r="G64" s="14">
        <v>13</v>
      </c>
    </row>
    <row r="65" spans="1:7" x14ac:dyDescent="0.25">
      <c r="A65" s="14" t="s">
        <v>1078</v>
      </c>
      <c r="B65" s="14" t="s">
        <v>107</v>
      </c>
      <c r="C65" s="14" t="s">
        <v>113</v>
      </c>
      <c r="D65" s="14" t="s">
        <v>109</v>
      </c>
      <c r="E65" s="14" t="s">
        <v>1</v>
      </c>
      <c r="F65" s="14">
        <v>10</v>
      </c>
      <c r="G65" s="14">
        <v>14</v>
      </c>
    </row>
    <row r="66" spans="1:7" x14ac:dyDescent="0.25">
      <c r="A66" s="14" t="s">
        <v>1079</v>
      </c>
      <c r="B66" s="14" t="s">
        <v>1080</v>
      </c>
      <c r="C66" s="14" t="s">
        <v>1079</v>
      </c>
      <c r="D66" s="14" t="s">
        <v>1081</v>
      </c>
      <c r="E66" s="14" t="s">
        <v>1079</v>
      </c>
      <c r="F66" s="14">
        <v>0</v>
      </c>
      <c r="G66" s="14">
        <v>100</v>
      </c>
    </row>
    <row r="67" spans="1:7" x14ac:dyDescent="0.25">
      <c r="A67" s="14" t="s">
        <v>1079</v>
      </c>
      <c r="B67" s="14" t="s">
        <v>1082</v>
      </c>
      <c r="C67" s="14" t="s">
        <v>1079</v>
      </c>
      <c r="D67" s="14" t="s">
        <v>1081</v>
      </c>
      <c r="E67" s="14" t="s">
        <v>1079</v>
      </c>
      <c r="F67" s="14">
        <v>0</v>
      </c>
      <c r="G67" s="14">
        <v>101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D9FD-D20B-4153-A0AD-2C24E79DE830}">
  <sheetPr codeName="Tabelle4"/>
  <dimension ref="A1:N10"/>
  <sheetViews>
    <sheetView workbookViewId="0">
      <selection activeCell="B16" sqref="B16"/>
    </sheetView>
  </sheetViews>
  <sheetFormatPr baseColWidth="10" defaultRowHeight="15" x14ac:dyDescent="0.25"/>
  <cols>
    <col min="1" max="1" width="13.140625" bestFit="1" customWidth="1"/>
    <col min="2" max="2" width="32.140625" bestFit="1" customWidth="1"/>
    <col min="3" max="3" width="5.5703125" bestFit="1" customWidth="1"/>
    <col min="4" max="4" width="4.7109375" bestFit="1" customWidth="1"/>
    <col min="5" max="5" width="4" bestFit="1" customWidth="1"/>
    <col min="6" max="7" width="2.28515625" bestFit="1" customWidth="1"/>
    <col min="8" max="8" width="2" bestFit="1" customWidth="1"/>
    <col min="9" max="9" width="2.140625" bestFit="1" customWidth="1"/>
    <col min="10" max="10" width="2.28515625" bestFit="1" customWidth="1"/>
    <col min="11" max="11" width="1.7109375" bestFit="1" customWidth="1"/>
    <col min="12" max="14" width="2" bestFit="1" customWidth="1"/>
  </cols>
  <sheetData>
    <row r="1" spans="1:14" x14ac:dyDescent="0.25">
      <c r="A1" t="s">
        <v>43</v>
      </c>
      <c r="B1" t="str">
        <f t="shared" ref="B1:B10" ca="1" si="0">_xlfn.FORMULATEXT(C1)</f>
        <v>=TEIL(A1;SEQUENZ(;LÄNGE(A1));1)</v>
      </c>
      <c r="C1" t="str" cm="1">
        <f t="array" ref="C1:K1">MID(A1,_xlfn.SEQUENCE(,LEN(A1)),1)</f>
        <v>A</v>
      </c>
      <c r="D1" t="str">
        <v>T</v>
      </c>
      <c r="E1" t="str">
        <v>C</v>
      </c>
      <c r="F1" t="str">
        <v>G</v>
      </c>
      <c r="G1" t="str">
        <v>A</v>
      </c>
      <c r="H1" t="str">
        <v>T</v>
      </c>
      <c r="I1" t="str">
        <v>C</v>
      </c>
      <c r="J1" t="str">
        <v>G</v>
      </c>
      <c r="K1" t="str">
        <v>.</v>
      </c>
    </row>
    <row r="2" spans="1:14" x14ac:dyDescent="0.25">
      <c r="A2" t="s">
        <v>44</v>
      </c>
      <c r="B2" t="str">
        <f t="shared" ca="1" si="0"/>
        <v>=REGEXEXTRAHIEREN(A2;"\d+";1)</v>
      </c>
      <c r="C2" t="str" cm="1">
        <f t="array" ref="C2">_xlfn.REGEXEXTRACT(A2,"\d+",1)</f>
        <v>122</v>
      </c>
    </row>
    <row r="3" spans="1:14" x14ac:dyDescent="0.25">
      <c r="A3" t="s">
        <v>45</v>
      </c>
      <c r="B3" t="str">
        <f t="shared" ca="1" si="0"/>
        <v>=REGEXEXTRAHIEREN(A3;"\d";1)</v>
      </c>
      <c r="C3" t="str" cm="1">
        <f t="array" ref="C3:E3">_xlfn.REGEXEXTRACT(A3,"\d",1)</f>
        <v>1</v>
      </c>
      <c r="D3" t="str">
        <v>2</v>
      </c>
      <c r="E3" t="str">
        <v>3</v>
      </c>
    </row>
    <row r="4" spans="1:14" x14ac:dyDescent="0.25">
      <c r="A4" t="s">
        <v>46</v>
      </c>
      <c r="B4" t="str">
        <f t="shared" ca="1" si="0"/>
        <v>=REGEXEXTRAHIEREN(A4;"\w";1)</v>
      </c>
      <c r="C4" t="str" cm="1">
        <f t="array" ref="C4:N4">_xlfn.REGEXEXTRACT(A4,"\w",1)</f>
        <v>H</v>
      </c>
      <c r="D4" t="str">
        <v>a</v>
      </c>
      <c r="E4" t="str">
        <v>l</v>
      </c>
      <c r="F4" t="str">
        <v>l</v>
      </c>
      <c r="G4" t="str">
        <v>o</v>
      </c>
      <c r="H4" t="str">
        <v>T</v>
      </c>
      <c r="I4" t="str">
        <v>e</v>
      </c>
      <c r="J4" t="str">
        <v>s</v>
      </c>
      <c r="K4" t="str">
        <v>t</v>
      </c>
      <c r="L4" t="str">
        <v>1</v>
      </c>
      <c r="M4" t="str">
        <v>2</v>
      </c>
      <c r="N4" t="str">
        <v>3</v>
      </c>
    </row>
    <row r="5" spans="1:14" x14ac:dyDescent="0.25">
      <c r="A5" t="s">
        <v>2</v>
      </c>
      <c r="B5" t="str">
        <f t="shared" ca="1" si="0"/>
        <v>=REGEXEXTRAHIEREN(A5;"\w+";1)</v>
      </c>
      <c r="C5" t="str" cm="1">
        <f t="array" ref="C5:E5">_xlfn.REGEXEXTRACT(A5,"\w+",1)</f>
        <v>Hallo</v>
      </c>
      <c r="D5" t="str">
        <v>Test</v>
      </c>
      <c r="E5" t="str">
        <v>123</v>
      </c>
    </row>
    <row r="6" spans="1:14" x14ac:dyDescent="0.25">
      <c r="A6" t="s">
        <v>3</v>
      </c>
      <c r="B6" t="str">
        <f t="shared" ca="1" si="0"/>
        <v>=REGEXEXTRAHIEREN(A6;"\D";1)</v>
      </c>
      <c r="C6" t="str" cm="1">
        <f t="array" ref="C6:F6">_xlfn.REGEXEXTRACT(A6,"\D",1)</f>
        <v>A</v>
      </c>
      <c r="D6" t="str">
        <v>S</v>
      </c>
      <c r="E6" t="str">
        <v>h</v>
      </c>
      <c r="F6" t="str">
        <v>b</v>
      </c>
    </row>
    <row r="7" spans="1:14" x14ac:dyDescent="0.25">
      <c r="A7" t="s">
        <v>4</v>
      </c>
      <c r="B7" t="str">
        <f t="shared" ca="1" si="0"/>
        <v>=REGEXEXTRAHIEREN(A7;"[A-Z]";1)</v>
      </c>
      <c r="C7" t="str" cm="1">
        <f t="array" ref="C7:D7">_xlfn.REGEXEXTRACT(A7,"[A-Z]",1)</f>
        <v>A</v>
      </c>
      <c r="D7" t="str">
        <v>S</v>
      </c>
    </row>
    <row r="8" spans="1:14" x14ac:dyDescent="0.25">
      <c r="A8" t="s">
        <v>5</v>
      </c>
      <c r="B8" t="str">
        <f t="shared" ca="1" si="0"/>
        <v>=REGEXEXTRAHIEREN(A8;"[a-z]";1)</v>
      </c>
      <c r="C8" t="str" cm="1">
        <f t="array" ref="C8:D8">_xlfn.REGEXEXTRACT(A8,"[a-z]",1)</f>
        <v>h</v>
      </c>
      <c r="D8" t="str">
        <v>b</v>
      </c>
    </row>
    <row r="9" spans="1:14" x14ac:dyDescent="0.25">
      <c r="A9" t="s">
        <v>6</v>
      </c>
      <c r="B9" t="str">
        <f t="shared" ca="1" si="0"/>
        <v>=REGEXEXTRAHIEREN(A9;".";1)</v>
      </c>
      <c r="C9" t="str" cm="1">
        <f t="array" ref="C9:I9">_xlfn.REGEXEXTRACT(A9,".",1)</f>
        <v>A</v>
      </c>
      <c r="D9" t="str">
        <v>S</v>
      </c>
      <c r="E9" t="str">
        <v>h</v>
      </c>
      <c r="F9" t="str">
        <v>b</v>
      </c>
      <c r="G9" t="str">
        <v>1</v>
      </c>
      <c r="H9" t="str">
        <v>2</v>
      </c>
      <c r="I9" t="str">
        <v>8</v>
      </c>
    </row>
    <row r="10" spans="1:14" x14ac:dyDescent="0.25">
      <c r="A10" t="s">
        <v>7</v>
      </c>
      <c r="B10" t="str">
        <f t="shared" ca="1" si="0"/>
        <v>=REGEXEXTRAHIEREN(A10;".";1)</v>
      </c>
      <c r="C10" t="str" cm="1">
        <f t="array" ref="C10:I10">_xlfn.REGEXEXTRACT(A10,".",1)</f>
        <v>A</v>
      </c>
      <c r="D10" t="str">
        <v>S</v>
      </c>
      <c r="E10" t="str">
        <v>h</v>
      </c>
      <c r="F10" t="str">
        <v>b</v>
      </c>
      <c r="G10" t="str">
        <v>1</v>
      </c>
      <c r="H10" t="str">
        <v>2</v>
      </c>
      <c r="I10" t="str">
        <v>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7E23-2D7E-4E70-907B-18876A0AC288}">
  <sheetPr codeName="Tabelle5"/>
  <dimension ref="A1:B506"/>
  <sheetViews>
    <sheetView topLeftCell="A438" workbookViewId="0">
      <selection activeCell="B454" sqref="B454"/>
    </sheetView>
  </sheetViews>
  <sheetFormatPr baseColWidth="10" defaultColWidth="25.42578125" defaultRowHeight="15" x14ac:dyDescent="0.25"/>
  <cols>
    <col min="2" max="2" width="25.28515625" bestFit="1" customWidth="1"/>
  </cols>
  <sheetData>
    <row r="1" spans="1:2" x14ac:dyDescent="0.25">
      <c r="A1" s="5" t="s">
        <v>129</v>
      </c>
      <c r="B1" s="5" t="s">
        <v>130</v>
      </c>
    </row>
    <row r="2" spans="1:2" x14ac:dyDescent="0.25">
      <c r="A2" s="5" t="s">
        <v>131</v>
      </c>
      <c r="B2" s="5" t="s">
        <v>132</v>
      </c>
    </row>
    <row r="3" spans="1:2" x14ac:dyDescent="0.25">
      <c r="A3" s="5" t="s">
        <v>133</v>
      </c>
      <c r="B3" s="5" t="s">
        <v>133</v>
      </c>
    </row>
    <row r="4" spans="1:2" x14ac:dyDescent="0.25">
      <c r="A4" s="5" t="s">
        <v>134</v>
      </c>
      <c r="B4" s="5" t="s">
        <v>135</v>
      </c>
    </row>
    <row r="5" spans="1:2" x14ac:dyDescent="0.25">
      <c r="A5" s="5" t="s">
        <v>136</v>
      </c>
      <c r="B5" s="5" t="s">
        <v>137</v>
      </c>
    </row>
    <row r="6" spans="1:2" x14ac:dyDescent="0.25">
      <c r="A6" s="5" t="s">
        <v>138</v>
      </c>
      <c r="B6" s="5" t="s">
        <v>139</v>
      </c>
    </row>
    <row r="7" spans="1:2" x14ac:dyDescent="0.25">
      <c r="A7" s="5" t="s">
        <v>140</v>
      </c>
      <c r="B7" s="5" t="s">
        <v>141</v>
      </c>
    </row>
    <row r="8" spans="1:2" x14ac:dyDescent="0.25">
      <c r="A8" s="5" t="s">
        <v>142</v>
      </c>
      <c r="B8" s="5" t="s">
        <v>143</v>
      </c>
    </row>
    <row r="9" spans="1:2" x14ac:dyDescent="0.25">
      <c r="A9" s="5" t="s">
        <v>144</v>
      </c>
      <c r="B9" s="5" t="s">
        <v>145</v>
      </c>
    </row>
    <row r="10" spans="1:2" x14ac:dyDescent="0.25">
      <c r="A10" s="5" t="s">
        <v>146</v>
      </c>
      <c r="B10" s="5" t="s">
        <v>147</v>
      </c>
    </row>
    <row r="11" spans="1:2" x14ac:dyDescent="0.25">
      <c r="A11" s="5" t="s">
        <v>148</v>
      </c>
      <c r="B11" s="5" t="s">
        <v>149</v>
      </c>
    </row>
    <row r="12" spans="1:2" x14ac:dyDescent="0.25">
      <c r="A12" s="5" t="s">
        <v>150</v>
      </c>
      <c r="B12" s="5" t="s">
        <v>151</v>
      </c>
    </row>
    <row r="13" spans="1:2" x14ac:dyDescent="0.25">
      <c r="A13" s="5" t="s">
        <v>152</v>
      </c>
      <c r="B13" s="5" t="s">
        <v>153</v>
      </c>
    </row>
    <row r="14" spans="1:2" x14ac:dyDescent="0.25">
      <c r="A14" s="5" t="s">
        <v>154</v>
      </c>
      <c r="B14" s="5" t="s">
        <v>155</v>
      </c>
    </row>
    <row r="15" spans="1:2" x14ac:dyDescent="0.25">
      <c r="A15" s="5" t="s">
        <v>156</v>
      </c>
      <c r="B15" s="5" t="s">
        <v>157</v>
      </c>
    </row>
    <row r="16" spans="1:2" x14ac:dyDescent="0.25">
      <c r="A16" s="5" t="s">
        <v>158</v>
      </c>
      <c r="B16" s="5" t="s">
        <v>159</v>
      </c>
    </row>
    <row r="17" spans="1:2" x14ac:dyDescent="0.25">
      <c r="A17" s="5" t="s">
        <v>160</v>
      </c>
      <c r="B17" s="5" t="s">
        <v>161</v>
      </c>
    </row>
    <row r="18" spans="1:2" x14ac:dyDescent="0.25">
      <c r="A18" s="5" t="s">
        <v>162</v>
      </c>
      <c r="B18" s="5" t="s">
        <v>163</v>
      </c>
    </row>
    <row r="19" spans="1:2" x14ac:dyDescent="0.25">
      <c r="A19" s="5" t="s">
        <v>164</v>
      </c>
      <c r="B19" s="5" t="s">
        <v>165</v>
      </c>
    </row>
    <row r="20" spans="1:2" x14ac:dyDescent="0.25">
      <c r="A20" s="5" t="s">
        <v>166</v>
      </c>
      <c r="B20" s="5" t="s">
        <v>167</v>
      </c>
    </row>
    <row r="21" spans="1:2" x14ac:dyDescent="0.25">
      <c r="A21" s="5" t="s">
        <v>168</v>
      </c>
      <c r="B21" s="5" t="s">
        <v>169</v>
      </c>
    </row>
    <row r="22" spans="1:2" x14ac:dyDescent="0.25">
      <c r="A22" s="5" t="s">
        <v>170</v>
      </c>
      <c r="B22" s="5" t="s">
        <v>171</v>
      </c>
    </row>
    <row r="23" spans="1:2" x14ac:dyDescent="0.25">
      <c r="A23" s="5" t="s">
        <v>172</v>
      </c>
      <c r="B23" s="5" t="s">
        <v>173</v>
      </c>
    </row>
    <row r="24" spans="1:2" x14ac:dyDescent="0.25">
      <c r="A24" s="5" t="s">
        <v>174</v>
      </c>
      <c r="B24" s="5" t="s">
        <v>174</v>
      </c>
    </row>
    <row r="25" spans="1:2" x14ac:dyDescent="0.25">
      <c r="A25" s="5" t="s">
        <v>175</v>
      </c>
      <c r="B25" s="5" t="s">
        <v>176</v>
      </c>
    </row>
    <row r="26" spans="1:2" x14ac:dyDescent="0.25">
      <c r="A26" s="5" t="s">
        <v>177</v>
      </c>
      <c r="B26" s="5" t="s">
        <v>178</v>
      </c>
    </row>
    <row r="27" spans="1:2" x14ac:dyDescent="0.25">
      <c r="A27" s="5" t="s">
        <v>179</v>
      </c>
      <c r="B27" s="5" t="s">
        <v>180</v>
      </c>
    </row>
    <row r="28" spans="1:2" x14ac:dyDescent="0.25">
      <c r="A28" s="5" t="s">
        <v>181</v>
      </c>
      <c r="B28" s="5" t="s">
        <v>182</v>
      </c>
    </row>
    <row r="29" spans="1:2" x14ac:dyDescent="0.25">
      <c r="A29" s="5" t="s">
        <v>183</v>
      </c>
      <c r="B29" s="5" t="s">
        <v>184</v>
      </c>
    </row>
    <row r="30" spans="1:2" x14ac:dyDescent="0.25">
      <c r="A30" s="5" t="s">
        <v>185</v>
      </c>
      <c r="B30" s="5" t="s">
        <v>186</v>
      </c>
    </row>
    <row r="31" spans="1:2" x14ac:dyDescent="0.25">
      <c r="A31" s="5" t="s">
        <v>187</v>
      </c>
      <c r="B31" s="5" t="s">
        <v>188</v>
      </c>
    </row>
    <row r="32" spans="1:2" x14ac:dyDescent="0.25">
      <c r="A32" s="5" t="s">
        <v>189</v>
      </c>
      <c r="B32" s="5" t="s">
        <v>189</v>
      </c>
    </row>
    <row r="33" spans="1:2" x14ac:dyDescent="0.25">
      <c r="A33" s="5" t="s">
        <v>190</v>
      </c>
      <c r="B33" s="5" t="s">
        <v>190</v>
      </c>
    </row>
    <row r="34" spans="1:2" x14ac:dyDescent="0.25">
      <c r="A34" s="5" t="s">
        <v>191</v>
      </c>
      <c r="B34" s="5" t="s">
        <v>191</v>
      </c>
    </row>
    <row r="35" spans="1:2" x14ac:dyDescent="0.25">
      <c r="A35" s="5" t="s">
        <v>192</v>
      </c>
      <c r="B35" s="5" t="s">
        <v>192</v>
      </c>
    </row>
    <row r="36" spans="1:2" x14ac:dyDescent="0.25">
      <c r="A36" s="5" t="s">
        <v>193</v>
      </c>
      <c r="B36" s="5" t="s">
        <v>194</v>
      </c>
    </row>
    <row r="37" spans="1:2" x14ac:dyDescent="0.25">
      <c r="A37" s="5" t="s">
        <v>195</v>
      </c>
      <c r="B37" s="5" t="s">
        <v>195</v>
      </c>
    </row>
    <row r="38" spans="1:2" x14ac:dyDescent="0.25">
      <c r="A38" s="5" t="s">
        <v>196</v>
      </c>
      <c r="B38" s="5" t="s">
        <v>197</v>
      </c>
    </row>
    <row r="39" spans="1:2" x14ac:dyDescent="0.25">
      <c r="A39" s="5" t="s">
        <v>198</v>
      </c>
      <c r="B39" s="5" t="s">
        <v>198</v>
      </c>
    </row>
    <row r="40" spans="1:2" x14ac:dyDescent="0.25">
      <c r="A40" s="5" t="s">
        <v>199</v>
      </c>
      <c r="B40" s="5" t="s">
        <v>200</v>
      </c>
    </row>
    <row r="41" spans="1:2" x14ac:dyDescent="0.25">
      <c r="A41" s="5" t="s">
        <v>201</v>
      </c>
      <c r="B41" s="5" t="s">
        <v>202</v>
      </c>
    </row>
    <row r="42" spans="1:2" x14ac:dyDescent="0.25">
      <c r="A42" s="5" t="s">
        <v>203</v>
      </c>
      <c r="B42" s="5" t="s">
        <v>204</v>
      </c>
    </row>
    <row r="43" spans="1:2" x14ac:dyDescent="0.25">
      <c r="A43" s="5" t="s">
        <v>205</v>
      </c>
      <c r="B43" s="5" t="s">
        <v>206</v>
      </c>
    </row>
    <row r="44" spans="1:2" x14ac:dyDescent="0.25">
      <c r="A44" s="5" t="s">
        <v>207</v>
      </c>
      <c r="B44" s="5" t="s">
        <v>208</v>
      </c>
    </row>
    <row r="45" spans="1:2" x14ac:dyDescent="0.25">
      <c r="A45" s="5" t="s">
        <v>209</v>
      </c>
      <c r="B45" s="5" t="s">
        <v>209</v>
      </c>
    </row>
    <row r="46" spans="1:2" x14ac:dyDescent="0.25">
      <c r="A46" s="5" t="s">
        <v>210</v>
      </c>
      <c r="B46" s="5" t="s">
        <v>211</v>
      </c>
    </row>
    <row r="47" spans="1:2" x14ac:dyDescent="0.25">
      <c r="A47" s="5" t="s">
        <v>212</v>
      </c>
      <c r="B47" s="5" t="s">
        <v>213</v>
      </c>
    </row>
    <row r="48" spans="1:2" x14ac:dyDescent="0.25">
      <c r="A48" s="5" t="s">
        <v>214</v>
      </c>
      <c r="B48" s="5" t="s">
        <v>215</v>
      </c>
    </row>
    <row r="49" spans="1:2" x14ac:dyDescent="0.25">
      <c r="A49" s="5" t="s">
        <v>216</v>
      </c>
      <c r="B49" s="5" t="s">
        <v>217</v>
      </c>
    </row>
    <row r="50" spans="1:2" x14ac:dyDescent="0.25">
      <c r="A50" s="5" t="s">
        <v>218</v>
      </c>
      <c r="B50" s="5" t="s">
        <v>219</v>
      </c>
    </row>
    <row r="51" spans="1:2" x14ac:dyDescent="0.25">
      <c r="A51" s="5" t="s">
        <v>220</v>
      </c>
      <c r="B51" s="5" t="s">
        <v>221</v>
      </c>
    </row>
    <row r="52" spans="1:2" x14ac:dyDescent="0.25">
      <c r="A52" s="5" t="s">
        <v>222</v>
      </c>
      <c r="B52" s="5" t="s">
        <v>223</v>
      </c>
    </row>
    <row r="53" spans="1:2" x14ac:dyDescent="0.25">
      <c r="A53" s="5" t="s">
        <v>224</v>
      </c>
      <c r="B53" s="5" t="s">
        <v>225</v>
      </c>
    </row>
    <row r="54" spans="1:2" x14ac:dyDescent="0.25">
      <c r="A54" s="5" t="s">
        <v>226</v>
      </c>
      <c r="B54" s="5" t="s">
        <v>227</v>
      </c>
    </row>
    <row r="55" spans="1:2" x14ac:dyDescent="0.25">
      <c r="A55" s="5" t="s">
        <v>228</v>
      </c>
      <c r="B55" s="5" t="s">
        <v>229</v>
      </c>
    </row>
    <row r="56" spans="1:2" x14ac:dyDescent="0.25">
      <c r="A56" s="5" t="s">
        <v>230</v>
      </c>
      <c r="B56" s="5" t="s">
        <v>231</v>
      </c>
    </row>
    <row r="57" spans="1:2" x14ac:dyDescent="0.25">
      <c r="A57" s="5" t="s">
        <v>232</v>
      </c>
      <c r="B57" s="5" t="s">
        <v>233</v>
      </c>
    </row>
    <row r="58" spans="1:2" x14ac:dyDescent="0.25">
      <c r="A58" s="5" t="s">
        <v>234</v>
      </c>
      <c r="B58" s="5" t="s">
        <v>235</v>
      </c>
    </row>
    <row r="59" spans="1:2" x14ac:dyDescent="0.25">
      <c r="A59" s="5" t="s">
        <v>236</v>
      </c>
      <c r="B59" s="5" t="s">
        <v>237</v>
      </c>
    </row>
    <row r="60" spans="1:2" x14ac:dyDescent="0.25">
      <c r="A60" s="5" t="s">
        <v>238</v>
      </c>
      <c r="B60" s="5" t="s">
        <v>238</v>
      </c>
    </row>
    <row r="61" spans="1:2" x14ac:dyDescent="0.25">
      <c r="A61" s="5" t="s">
        <v>239</v>
      </c>
      <c r="B61" s="5" t="s">
        <v>240</v>
      </c>
    </row>
    <row r="62" spans="1:2" x14ac:dyDescent="0.25">
      <c r="A62" s="5" t="s">
        <v>241</v>
      </c>
      <c r="B62" s="5" t="s">
        <v>242</v>
      </c>
    </row>
    <row r="63" spans="1:2" x14ac:dyDescent="0.25">
      <c r="A63" s="5" t="s">
        <v>243</v>
      </c>
      <c r="B63" s="5" t="s">
        <v>244</v>
      </c>
    </row>
    <row r="64" spans="1:2" x14ac:dyDescent="0.25">
      <c r="A64" s="5" t="s">
        <v>245</v>
      </c>
      <c r="B64" s="5" t="s">
        <v>246</v>
      </c>
    </row>
    <row r="65" spans="1:2" x14ac:dyDescent="0.25">
      <c r="A65" s="5" t="s">
        <v>247</v>
      </c>
      <c r="B65" s="5" t="s">
        <v>248</v>
      </c>
    </row>
    <row r="66" spans="1:2" x14ac:dyDescent="0.25">
      <c r="A66" s="5" t="s">
        <v>249</v>
      </c>
      <c r="B66" s="5" t="s">
        <v>249</v>
      </c>
    </row>
    <row r="67" spans="1:2" x14ac:dyDescent="0.25">
      <c r="A67" s="5" t="s">
        <v>250</v>
      </c>
      <c r="B67" s="5" t="s">
        <v>251</v>
      </c>
    </row>
    <row r="68" spans="1:2" x14ac:dyDescent="0.25">
      <c r="A68" s="5" t="s">
        <v>252</v>
      </c>
      <c r="B68" s="5" t="s">
        <v>252</v>
      </c>
    </row>
    <row r="69" spans="1:2" x14ac:dyDescent="0.25">
      <c r="A69" s="5" t="s">
        <v>253</v>
      </c>
      <c r="B69" s="5" t="s">
        <v>253</v>
      </c>
    </row>
    <row r="70" spans="1:2" x14ac:dyDescent="0.25">
      <c r="A70" s="5" t="s">
        <v>254</v>
      </c>
      <c r="B70" s="5" t="s">
        <v>255</v>
      </c>
    </row>
    <row r="71" spans="1:2" x14ac:dyDescent="0.25">
      <c r="A71" s="5" t="s">
        <v>256</v>
      </c>
      <c r="B71" s="5" t="s">
        <v>257</v>
      </c>
    </row>
    <row r="72" spans="1:2" x14ac:dyDescent="0.25">
      <c r="A72" s="5" t="s">
        <v>258</v>
      </c>
      <c r="B72" s="5" t="s">
        <v>259</v>
      </c>
    </row>
    <row r="73" spans="1:2" x14ac:dyDescent="0.25">
      <c r="A73" s="5" t="s">
        <v>260</v>
      </c>
      <c r="B73" s="5" t="s">
        <v>260</v>
      </c>
    </row>
    <row r="74" spans="1:2" x14ac:dyDescent="0.25">
      <c r="A74" s="5" t="s">
        <v>261</v>
      </c>
      <c r="B74" s="5" t="s">
        <v>262</v>
      </c>
    </row>
    <row r="75" spans="1:2" x14ac:dyDescent="0.25">
      <c r="A75" s="5" t="s">
        <v>263</v>
      </c>
      <c r="B75" s="5" t="s">
        <v>264</v>
      </c>
    </row>
    <row r="76" spans="1:2" x14ac:dyDescent="0.25">
      <c r="A76" s="5" t="s">
        <v>265</v>
      </c>
      <c r="B76" s="5" t="s">
        <v>266</v>
      </c>
    </row>
    <row r="77" spans="1:2" x14ac:dyDescent="0.25">
      <c r="A77" s="5" t="s">
        <v>267</v>
      </c>
      <c r="B77" s="5" t="s">
        <v>268</v>
      </c>
    </row>
    <row r="78" spans="1:2" x14ac:dyDescent="0.25">
      <c r="A78" s="5" t="s">
        <v>269</v>
      </c>
      <c r="B78" s="5" t="s">
        <v>270</v>
      </c>
    </row>
    <row r="79" spans="1:2" x14ac:dyDescent="0.25">
      <c r="A79" s="5" t="s">
        <v>271</v>
      </c>
      <c r="B79" s="5" t="s">
        <v>272</v>
      </c>
    </row>
    <row r="80" spans="1:2" x14ac:dyDescent="0.25">
      <c r="A80" s="5" t="s">
        <v>273</v>
      </c>
      <c r="B80" s="5" t="s">
        <v>274</v>
      </c>
    </row>
    <row r="81" spans="1:2" x14ac:dyDescent="0.25">
      <c r="A81" s="5" t="s">
        <v>275</v>
      </c>
      <c r="B81" s="5" t="s">
        <v>276</v>
      </c>
    </row>
    <row r="82" spans="1:2" x14ac:dyDescent="0.25">
      <c r="A82" s="5" t="s">
        <v>277</v>
      </c>
      <c r="B82" s="5" t="s">
        <v>277</v>
      </c>
    </row>
    <row r="83" spans="1:2" x14ac:dyDescent="0.25">
      <c r="A83" s="5" t="s">
        <v>278</v>
      </c>
      <c r="B83" s="5" t="s">
        <v>279</v>
      </c>
    </row>
    <row r="84" spans="1:2" x14ac:dyDescent="0.25">
      <c r="A84" s="5" t="s">
        <v>280</v>
      </c>
      <c r="B84" s="5" t="s">
        <v>281</v>
      </c>
    </row>
    <row r="85" spans="1:2" x14ac:dyDescent="0.25">
      <c r="A85" s="5" t="s">
        <v>282</v>
      </c>
      <c r="B85" s="5" t="s">
        <v>283</v>
      </c>
    </row>
    <row r="86" spans="1:2" x14ac:dyDescent="0.25">
      <c r="A86" s="5" t="s">
        <v>284</v>
      </c>
      <c r="B86" s="5" t="s">
        <v>285</v>
      </c>
    </row>
    <row r="87" spans="1:2" x14ac:dyDescent="0.25">
      <c r="A87" s="5" t="s">
        <v>286</v>
      </c>
      <c r="B87" s="5" t="s">
        <v>287</v>
      </c>
    </row>
    <row r="88" spans="1:2" x14ac:dyDescent="0.25">
      <c r="A88" s="5" t="s">
        <v>288</v>
      </c>
      <c r="B88" s="5" t="s">
        <v>289</v>
      </c>
    </row>
    <row r="89" spans="1:2" x14ac:dyDescent="0.25">
      <c r="A89" s="5" t="s">
        <v>290</v>
      </c>
      <c r="B89" s="5" t="s">
        <v>291</v>
      </c>
    </row>
    <row r="90" spans="1:2" x14ac:dyDescent="0.25">
      <c r="A90" s="5" t="s">
        <v>292</v>
      </c>
      <c r="B90" s="5" t="s">
        <v>293</v>
      </c>
    </row>
    <row r="91" spans="1:2" x14ac:dyDescent="0.25">
      <c r="A91" s="5" t="s">
        <v>294</v>
      </c>
      <c r="B91" s="5" t="s">
        <v>295</v>
      </c>
    </row>
    <row r="92" spans="1:2" x14ac:dyDescent="0.25">
      <c r="A92" s="5" t="s">
        <v>296</v>
      </c>
      <c r="B92" s="5" t="s">
        <v>297</v>
      </c>
    </row>
    <row r="93" spans="1:2" x14ac:dyDescent="0.25">
      <c r="A93" s="5" t="s">
        <v>298</v>
      </c>
      <c r="B93" s="5" t="s">
        <v>299</v>
      </c>
    </row>
    <row r="94" spans="1:2" x14ac:dyDescent="0.25">
      <c r="A94" s="5" t="s">
        <v>300</v>
      </c>
      <c r="B94" s="5" t="s">
        <v>301</v>
      </c>
    </row>
    <row r="95" spans="1:2" x14ac:dyDescent="0.25">
      <c r="A95" s="5" t="s">
        <v>302</v>
      </c>
      <c r="B95" s="5" t="s">
        <v>303</v>
      </c>
    </row>
    <row r="96" spans="1:2" x14ac:dyDescent="0.25">
      <c r="A96" s="5" t="s">
        <v>304</v>
      </c>
      <c r="B96" s="5" t="s">
        <v>305</v>
      </c>
    </row>
    <row r="97" spans="1:2" x14ac:dyDescent="0.25">
      <c r="A97" s="5" t="s">
        <v>306</v>
      </c>
      <c r="B97" s="5" t="s">
        <v>306</v>
      </c>
    </row>
    <row r="98" spans="1:2" x14ac:dyDescent="0.25">
      <c r="A98" s="5" t="s">
        <v>307</v>
      </c>
      <c r="B98" s="5" t="s">
        <v>308</v>
      </c>
    </row>
    <row r="99" spans="1:2" x14ac:dyDescent="0.25">
      <c r="A99" s="5" t="s">
        <v>309</v>
      </c>
      <c r="B99" s="5" t="s">
        <v>310</v>
      </c>
    </row>
    <row r="100" spans="1:2" x14ac:dyDescent="0.25">
      <c r="A100" s="5" t="s">
        <v>311</v>
      </c>
      <c r="B100" s="5" t="s">
        <v>312</v>
      </c>
    </row>
    <row r="101" spans="1:2" x14ac:dyDescent="0.25">
      <c r="A101" s="5" t="s">
        <v>313</v>
      </c>
      <c r="B101" s="5" t="s">
        <v>314</v>
      </c>
    </row>
    <row r="102" spans="1:2" x14ac:dyDescent="0.25">
      <c r="A102" s="5" t="s">
        <v>315</v>
      </c>
      <c r="B102" s="5" t="s">
        <v>316</v>
      </c>
    </row>
    <row r="103" spans="1:2" x14ac:dyDescent="0.25">
      <c r="A103" s="5" t="s">
        <v>317</v>
      </c>
      <c r="B103" s="5" t="s">
        <v>318</v>
      </c>
    </row>
    <row r="104" spans="1:2" x14ac:dyDescent="0.25">
      <c r="A104" s="5" t="s">
        <v>319</v>
      </c>
      <c r="B104" s="5" t="s">
        <v>320</v>
      </c>
    </row>
    <row r="105" spans="1:2" x14ac:dyDescent="0.25">
      <c r="A105" s="5" t="s">
        <v>321</v>
      </c>
      <c r="B105" s="5" t="s">
        <v>321</v>
      </c>
    </row>
    <row r="106" spans="1:2" x14ac:dyDescent="0.25">
      <c r="A106" s="5" t="s">
        <v>322</v>
      </c>
      <c r="B106" s="5" t="s">
        <v>323</v>
      </c>
    </row>
    <row r="107" spans="1:2" x14ac:dyDescent="0.25">
      <c r="A107" s="5" t="s">
        <v>324</v>
      </c>
      <c r="B107" s="5" t="s">
        <v>325</v>
      </c>
    </row>
    <row r="108" spans="1:2" x14ac:dyDescent="0.25">
      <c r="A108" s="5" t="s">
        <v>326</v>
      </c>
      <c r="B108" s="5" t="s">
        <v>327</v>
      </c>
    </row>
    <row r="109" spans="1:2" x14ac:dyDescent="0.25">
      <c r="A109" s="5" t="s">
        <v>328</v>
      </c>
      <c r="B109" s="5" t="s">
        <v>329</v>
      </c>
    </row>
    <row r="110" spans="1:2" x14ac:dyDescent="0.25">
      <c r="A110" s="5" t="s">
        <v>330</v>
      </c>
      <c r="B110" s="5" t="s">
        <v>331</v>
      </c>
    </row>
    <row r="111" spans="1:2" x14ac:dyDescent="0.25">
      <c r="A111" s="5" t="s">
        <v>332</v>
      </c>
      <c r="B111" s="5" t="s">
        <v>333</v>
      </c>
    </row>
    <row r="112" spans="1:2" x14ac:dyDescent="0.25">
      <c r="A112" s="5" t="s">
        <v>334</v>
      </c>
      <c r="B112" s="5" t="s">
        <v>334</v>
      </c>
    </row>
    <row r="113" spans="1:2" x14ac:dyDescent="0.25">
      <c r="A113" s="5" t="s">
        <v>335</v>
      </c>
      <c r="B113" s="5" t="s">
        <v>336</v>
      </c>
    </row>
    <row r="114" spans="1:2" x14ac:dyDescent="0.25">
      <c r="A114" s="5" t="s">
        <v>337</v>
      </c>
      <c r="B114" s="5" t="s">
        <v>338</v>
      </c>
    </row>
    <row r="115" spans="1:2" x14ac:dyDescent="0.25">
      <c r="A115" s="5" t="s">
        <v>339</v>
      </c>
      <c r="B115" s="5" t="s">
        <v>339</v>
      </c>
    </row>
    <row r="116" spans="1:2" x14ac:dyDescent="0.25">
      <c r="A116" s="5" t="s">
        <v>340</v>
      </c>
      <c r="B116" s="5" t="s">
        <v>341</v>
      </c>
    </row>
    <row r="117" spans="1:2" x14ac:dyDescent="0.25">
      <c r="A117" s="5" t="s">
        <v>342</v>
      </c>
      <c r="B117" s="5" t="s">
        <v>342</v>
      </c>
    </row>
    <row r="118" spans="1:2" x14ac:dyDescent="0.25">
      <c r="A118" s="5" t="s">
        <v>343</v>
      </c>
      <c r="B118" s="5" t="s">
        <v>344</v>
      </c>
    </row>
    <row r="119" spans="1:2" x14ac:dyDescent="0.25">
      <c r="A119" s="5" t="s">
        <v>345</v>
      </c>
      <c r="B119" s="5" t="s">
        <v>346</v>
      </c>
    </row>
    <row r="120" spans="1:2" x14ac:dyDescent="0.25">
      <c r="A120" s="5" t="s">
        <v>347</v>
      </c>
      <c r="B120" s="5" t="s">
        <v>348</v>
      </c>
    </row>
    <row r="121" spans="1:2" x14ac:dyDescent="0.25">
      <c r="A121" s="5" t="b">
        <v>0</v>
      </c>
      <c r="B121" s="5" t="s">
        <v>349</v>
      </c>
    </row>
    <row r="122" spans="1:2" x14ac:dyDescent="0.25">
      <c r="A122" s="5" t="s">
        <v>350</v>
      </c>
      <c r="B122" s="5" t="s">
        <v>351</v>
      </c>
    </row>
    <row r="123" spans="1:2" x14ac:dyDescent="0.25">
      <c r="A123" s="5" t="s">
        <v>352</v>
      </c>
      <c r="B123" s="5" t="s">
        <v>353</v>
      </c>
    </row>
    <row r="124" spans="1:2" x14ac:dyDescent="0.25">
      <c r="A124" s="5" t="s">
        <v>354</v>
      </c>
      <c r="B124" s="5" t="s">
        <v>354</v>
      </c>
    </row>
    <row r="125" spans="1:2" x14ac:dyDescent="0.25">
      <c r="A125" s="5" t="s">
        <v>8</v>
      </c>
      <c r="B125" s="5" t="s">
        <v>355</v>
      </c>
    </row>
    <row r="126" spans="1:2" x14ac:dyDescent="0.25">
      <c r="A126" s="5" t="s">
        <v>356</v>
      </c>
      <c r="B126" s="5" t="s">
        <v>356</v>
      </c>
    </row>
    <row r="127" spans="1:2" x14ac:dyDescent="0.25">
      <c r="A127" s="5" t="s">
        <v>357</v>
      </c>
      <c r="B127" s="5" t="s">
        <v>357</v>
      </c>
    </row>
    <row r="128" spans="1:2" x14ac:dyDescent="0.25">
      <c r="A128" s="5" t="s">
        <v>358</v>
      </c>
      <c r="B128" s="5" t="s">
        <v>358</v>
      </c>
    </row>
    <row r="129" spans="1:2" x14ac:dyDescent="0.25">
      <c r="A129" s="5" t="s">
        <v>359</v>
      </c>
      <c r="B129" s="5" t="s">
        <v>360</v>
      </c>
    </row>
    <row r="130" spans="1:2" x14ac:dyDescent="0.25">
      <c r="A130" s="5" t="s">
        <v>361</v>
      </c>
      <c r="B130" s="5" t="s">
        <v>361</v>
      </c>
    </row>
    <row r="131" spans="1:2" x14ac:dyDescent="0.25">
      <c r="A131" s="5" t="s">
        <v>362</v>
      </c>
      <c r="B131" s="5" t="s">
        <v>363</v>
      </c>
    </row>
    <row r="132" spans="1:2" x14ac:dyDescent="0.25">
      <c r="A132" s="5" t="s">
        <v>364</v>
      </c>
      <c r="B132" s="5" t="s">
        <v>365</v>
      </c>
    </row>
    <row r="133" spans="1:2" x14ac:dyDescent="0.25">
      <c r="A133" s="5" t="s">
        <v>366</v>
      </c>
      <c r="B133" s="5" t="s">
        <v>366</v>
      </c>
    </row>
    <row r="134" spans="1:2" x14ac:dyDescent="0.25">
      <c r="A134" s="5" t="s">
        <v>367</v>
      </c>
      <c r="B134" s="5" t="s">
        <v>367</v>
      </c>
    </row>
    <row r="135" spans="1:2" x14ac:dyDescent="0.25">
      <c r="A135" s="5" t="s">
        <v>368</v>
      </c>
      <c r="B135" s="5" t="s">
        <v>369</v>
      </c>
    </row>
    <row r="136" spans="1:2" x14ac:dyDescent="0.25">
      <c r="A136" s="5" t="s">
        <v>370</v>
      </c>
      <c r="B136" s="5" t="s">
        <v>370</v>
      </c>
    </row>
    <row r="137" spans="1:2" x14ac:dyDescent="0.25">
      <c r="A137" s="5" t="s">
        <v>371</v>
      </c>
      <c r="B137" s="5" t="s">
        <v>371</v>
      </c>
    </row>
    <row r="138" spans="1:2" x14ac:dyDescent="0.25">
      <c r="A138" s="5" t="s">
        <v>372</v>
      </c>
      <c r="B138" s="5" t="s">
        <v>373</v>
      </c>
    </row>
    <row r="139" spans="1:2" x14ac:dyDescent="0.25">
      <c r="A139" s="5" t="s">
        <v>374</v>
      </c>
      <c r="B139" s="5" t="s">
        <v>375</v>
      </c>
    </row>
    <row r="140" spans="1:2" x14ac:dyDescent="0.25">
      <c r="A140" s="5" t="s">
        <v>376</v>
      </c>
      <c r="B140" s="5" t="s">
        <v>377</v>
      </c>
    </row>
    <row r="141" spans="1:2" x14ac:dyDescent="0.25">
      <c r="A141" s="5" t="s">
        <v>378</v>
      </c>
      <c r="B141" s="5" t="s">
        <v>378</v>
      </c>
    </row>
    <row r="142" spans="1:2" x14ac:dyDescent="0.25">
      <c r="A142" s="5" t="s">
        <v>379</v>
      </c>
      <c r="B142" s="5" t="s">
        <v>380</v>
      </c>
    </row>
    <row r="143" spans="1:2" x14ac:dyDescent="0.25">
      <c r="A143" s="5" t="s">
        <v>381</v>
      </c>
      <c r="B143" s="5" t="s">
        <v>382</v>
      </c>
    </row>
    <row r="144" spans="1:2" x14ac:dyDescent="0.25">
      <c r="A144" s="5" t="s">
        <v>383</v>
      </c>
      <c r="B144" s="5" t="s">
        <v>384</v>
      </c>
    </row>
    <row r="145" spans="1:2" x14ac:dyDescent="0.25">
      <c r="A145" s="5" t="s">
        <v>385</v>
      </c>
      <c r="B145" s="5" t="s">
        <v>386</v>
      </c>
    </row>
    <row r="146" spans="1:2" x14ac:dyDescent="0.25">
      <c r="A146" s="5" t="s">
        <v>387</v>
      </c>
      <c r="B146" s="5" t="s">
        <v>388</v>
      </c>
    </row>
    <row r="147" spans="1:2" x14ac:dyDescent="0.25">
      <c r="A147" s="5" t="s">
        <v>389</v>
      </c>
      <c r="B147" s="5" t="s">
        <v>390</v>
      </c>
    </row>
    <row r="148" spans="1:2" x14ac:dyDescent="0.25">
      <c r="A148" s="5" t="s">
        <v>391</v>
      </c>
      <c r="B148" s="5" t="s">
        <v>392</v>
      </c>
    </row>
    <row r="149" spans="1:2" x14ac:dyDescent="0.25">
      <c r="A149" s="5" t="s">
        <v>393</v>
      </c>
      <c r="B149" s="5" t="s">
        <v>394</v>
      </c>
    </row>
    <row r="150" spans="1:2" x14ac:dyDescent="0.25">
      <c r="A150" s="5" t="s">
        <v>395</v>
      </c>
      <c r="B150" s="5" t="s">
        <v>396</v>
      </c>
    </row>
    <row r="151" spans="1:2" x14ac:dyDescent="0.25">
      <c r="A151" s="5" t="s">
        <v>397</v>
      </c>
      <c r="B151" s="5" t="s">
        <v>398</v>
      </c>
    </row>
    <row r="152" spans="1:2" x14ac:dyDescent="0.25">
      <c r="A152" s="5" t="s">
        <v>399</v>
      </c>
      <c r="B152" s="5" t="s">
        <v>400</v>
      </c>
    </row>
    <row r="153" spans="1:2" x14ac:dyDescent="0.25">
      <c r="A153" s="5" t="s">
        <v>401</v>
      </c>
      <c r="B153" s="5" t="s">
        <v>402</v>
      </c>
    </row>
    <row r="154" spans="1:2" x14ac:dyDescent="0.25">
      <c r="A154" s="5" t="s">
        <v>403</v>
      </c>
      <c r="B154" s="5" t="s">
        <v>404</v>
      </c>
    </row>
    <row r="155" spans="1:2" x14ac:dyDescent="0.25">
      <c r="A155" s="5" t="s">
        <v>405</v>
      </c>
      <c r="B155" s="5" t="s">
        <v>406</v>
      </c>
    </row>
    <row r="156" spans="1:2" x14ac:dyDescent="0.25">
      <c r="A156" s="5" t="s">
        <v>58</v>
      </c>
      <c r="B156" s="5" t="s">
        <v>407</v>
      </c>
    </row>
    <row r="157" spans="1:2" x14ac:dyDescent="0.25">
      <c r="A157" s="5" t="s">
        <v>408</v>
      </c>
      <c r="B157" s="5" t="s">
        <v>409</v>
      </c>
    </row>
    <row r="158" spans="1:2" x14ac:dyDescent="0.25">
      <c r="A158" s="5" t="s">
        <v>410</v>
      </c>
      <c r="B158" s="5" t="s">
        <v>411</v>
      </c>
    </row>
    <row r="159" spans="1:2" x14ac:dyDescent="0.25">
      <c r="A159" s="5" t="s">
        <v>412</v>
      </c>
      <c r="B159" s="5" t="s">
        <v>413</v>
      </c>
    </row>
    <row r="160" spans="1:2" x14ac:dyDescent="0.25">
      <c r="A160" s="5" t="s">
        <v>414</v>
      </c>
      <c r="B160" s="5" t="s">
        <v>415</v>
      </c>
    </row>
    <row r="161" spans="1:2" x14ac:dyDescent="0.25">
      <c r="A161" s="5" t="s">
        <v>416</v>
      </c>
      <c r="B161" s="5" t="s">
        <v>417</v>
      </c>
    </row>
    <row r="162" spans="1:2" x14ac:dyDescent="0.25">
      <c r="A162" s="5" t="s">
        <v>418</v>
      </c>
      <c r="B162" s="5" t="s">
        <v>419</v>
      </c>
    </row>
    <row r="163" spans="1:2" x14ac:dyDescent="0.25">
      <c r="A163" s="5" t="s">
        <v>420</v>
      </c>
      <c r="B163" s="5" t="s">
        <v>421</v>
      </c>
    </row>
    <row r="164" spans="1:2" x14ac:dyDescent="0.25">
      <c r="A164" s="5" t="s">
        <v>49</v>
      </c>
      <c r="B164" s="5" t="s">
        <v>422</v>
      </c>
    </row>
    <row r="165" spans="1:2" x14ac:dyDescent="0.25">
      <c r="A165" s="5" t="s">
        <v>423</v>
      </c>
      <c r="B165" s="5" t="s">
        <v>423</v>
      </c>
    </row>
    <row r="166" spans="1:2" x14ac:dyDescent="0.25">
      <c r="A166" s="5" t="s">
        <v>424</v>
      </c>
      <c r="B166" s="5" t="s">
        <v>425</v>
      </c>
    </row>
    <row r="167" spans="1:2" x14ac:dyDescent="0.25">
      <c r="A167" s="5" t="s">
        <v>426</v>
      </c>
      <c r="B167" s="5" t="s">
        <v>427</v>
      </c>
    </row>
    <row r="168" spans="1:2" x14ac:dyDescent="0.25">
      <c r="A168" s="5" t="s">
        <v>428</v>
      </c>
      <c r="B168" s="5" t="s">
        <v>429</v>
      </c>
    </row>
    <row r="169" spans="1:2" x14ac:dyDescent="0.25">
      <c r="A169" s="5" t="s">
        <v>430</v>
      </c>
      <c r="B169" s="5" t="s">
        <v>431</v>
      </c>
    </row>
    <row r="170" spans="1:2" x14ac:dyDescent="0.25">
      <c r="A170" s="5" t="s">
        <v>432</v>
      </c>
      <c r="B170" s="5" t="s">
        <v>433</v>
      </c>
    </row>
    <row r="171" spans="1:2" x14ac:dyDescent="0.25">
      <c r="A171" s="5" t="s">
        <v>434</v>
      </c>
      <c r="B171" s="5" t="s">
        <v>434</v>
      </c>
    </row>
    <row r="172" spans="1:2" x14ac:dyDescent="0.25">
      <c r="A172" s="5" t="s">
        <v>435</v>
      </c>
      <c r="B172" s="5" t="s">
        <v>436</v>
      </c>
    </row>
    <row r="173" spans="1:2" x14ac:dyDescent="0.25">
      <c r="A173" s="5" t="s">
        <v>437</v>
      </c>
      <c r="B173" s="5" t="s">
        <v>438</v>
      </c>
    </row>
    <row r="174" spans="1:2" x14ac:dyDescent="0.25">
      <c r="A174" s="5" t="s">
        <v>439</v>
      </c>
      <c r="B174" s="5" t="s">
        <v>439</v>
      </c>
    </row>
    <row r="175" spans="1:2" x14ac:dyDescent="0.25">
      <c r="A175" s="5" t="s">
        <v>440</v>
      </c>
      <c r="B175" s="5" t="s">
        <v>440</v>
      </c>
    </row>
    <row r="176" spans="1:2" x14ac:dyDescent="0.25">
      <c r="A176" s="5" t="s">
        <v>441</v>
      </c>
      <c r="B176" s="5" t="s">
        <v>442</v>
      </c>
    </row>
    <row r="177" spans="1:2" x14ac:dyDescent="0.25">
      <c r="A177" s="5" t="s">
        <v>443</v>
      </c>
      <c r="B177" s="5" t="s">
        <v>444</v>
      </c>
    </row>
    <row r="178" spans="1:2" x14ac:dyDescent="0.25">
      <c r="A178" s="5" t="s">
        <v>445</v>
      </c>
      <c r="B178" s="5" t="s">
        <v>446</v>
      </c>
    </row>
    <row r="179" spans="1:2" x14ac:dyDescent="0.25">
      <c r="A179" s="5" t="s">
        <v>447</v>
      </c>
      <c r="B179" s="5" t="s">
        <v>447</v>
      </c>
    </row>
    <row r="180" spans="1:2" x14ac:dyDescent="0.25">
      <c r="A180" s="5" t="s">
        <v>448</v>
      </c>
      <c r="B180" s="5" t="s">
        <v>448</v>
      </c>
    </row>
    <row r="181" spans="1:2" x14ac:dyDescent="0.25">
      <c r="A181" s="5" t="s">
        <v>449</v>
      </c>
      <c r="B181" s="5" t="s">
        <v>449</v>
      </c>
    </row>
    <row r="182" spans="1:2" x14ac:dyDescent="0.25">
      <c r="A182" s="5" t="s">
        <v>450</v>
      </c>
      <c r="B182" s="5" t="s">
        <v>451</v>
      </c>
    </row>
    <row r="183" spans="1:2" x14ac:dyDescent="0.25">
      <c r="A183" s="5" t="s">
        <v>452</v>
      </c>
      <c r="B183" s="5" t="s">
        <v>452</v>
      </c>
    </row>
    <row r="184" spans="1:2" x14ac:dyDescent="0.25">
      <c r="A184" s="5" t="s">
        <v>453</v>
      </c>
      <c r="B184" s="5" t="s">
        <v>453</v>
      </c>
    </row>
    <row r="185" spans="1:2" x14ac:dyDescent="0.25">
      <c r="A185" s="5" t="s">
        <v>454</v>
      </c>
      <c r="B185" s="5" t="s">
        <v>454</v>
      </c>
    </row>
    <row r="186" spans="1:2" x14ac:dyDescent="0.25">
      <c r="A186" s="5" t="s">
        <v>455</v>
      </c>
      <c r="B186" s="5" t="s">
        <v>456</v>
      </c>
    </row>
    <row r="187" spans="1:2" x14ac:dyDescent="0.25">
      <c r="A187" s="5" t="s">
        <v>457</v>
      </c>
      <c r="B187" s="5" t="s">
        <v>458</v>
      </c>
    </row>
    <row r="188" spans="1:2" x14ac:dyDescent="0.25">
      <c r="A188" s="5" t="s">
        <v>459</v>
      </c>
      <c r="B188" s="5" t="s">
        <v>459</v>
      </c>
    </row>
    <row r="189" spans="1:2" x14ac:dyDescent="0.25">
      <c r="A189" s="5" t="s">
        <v>460</v>
      </c>
      <c r="B189" s="5" t="s">
        <v>461</v>
      </c>
    </row>
    <row r="190" spans="1:2" x14ac:dyDescent="0.25">
      <c r="A190" s="5" t="s">
        <v>462</v>
      </c>
      <c r="B190" s="5" t="s">
        <v>462</v>
      </c>
    </row>
    <row r="191" spans="1:2" x14ac:dyDescent="0.25">
      <c r="A191" s="5" t="s">
        <v>463</v>
      </c>
      <c r="B191" s="5" t="s">
        <v>464</v>
      </c>
    </row>
    <row r="192" spans="1:2" x14ac:dyDescent="0.25">
      <c r="A192" s="5" t="s">
        <v>465</v>
      </c>
      <c r="B192" s="5" t="s">
        <v>465</v>
      </c>
    </row>
    <row r="193" spans="1:2" x14ac:dyDescent="0.25">
      <c r="A193" s="5" t="s">
        <v>466</v>
      </c>
      <c r="B193" s="5" t="s">
        <v>467</v>
      </c>
    </row>
    <row r="194" spans="1:2" x14ac:dyDescent="0.25">
      <c r="A194" s="5" t="s">
        <v>468</v>
      </c>
      <c r="B194" s="5" t="s">
        <v>468</v>
      </c>
    </row>
    <row r="195" spans="1:2" x14ac:dyDescent="0.25">
      <c r="A195" s="5" t="s">
        <v>469</v>
      </c>
      <c r="B195" s="5" t="s">
        <v>470</v>
      </c>
    </row>
    <row r="196" spans="1:2" x14ac:dyDescent="0.25">
      <c r="A196" s="5" t="s">
        <v>471</v>
      </c>
      <c r="B196" s="5" t="s">
        <v>471</v>
      </c>
    </row>
    <row r="197" spans="1:2" x14ac:dyDescent="0.25">
      <c r="A197" s="5" t="s">
        <v>472</v>
      </c>
      <c r="B197" s="5" t="s">
        <v>473</v>
      </c>
    </row>
    <row r="198" spans="1:2" x14ac:dyDescent="0.25">
      <c r="A198" s="5" t="s">
        <v>474</v>
      </c>
      <c r="B198" s="5" t="s">
        <v>474</v>
      </c>
    </row>
    <row r="199" spans="1:2" x14ac:dyDescent="0.25">
      <c r="A199" s="5" t="s">
        <v>475</v>
      </c>
      <c r="B199" s="5" t="s">
        <v>476</v>
      </c>
    </row>
    <row r="200" spans="1:2" x14ac:dyDescent="0.25">
      <c r="A200" s="5" t="s">
        <v>477</v>
      </c>
      <c r="B200" s="5" t="s">
        <v>478</v>
      </c>
    </row>
    <row r="201" spans="1:2" x14ac:dyDescent="0.25">
      <c r="A201" s="5" t="s">
        <v>479</v>
      </c>
      <c r="B201" s="5" t="s">
        <v>479</v>
      </c>
    </row>
    <row r="202" spans="1:2" x14ac:dyDescent="0.25">
      <c r="A202" s="5" t="s">
        <v>480</v>
      </c>
      <c r="B202" s="5" t="s">
        <v>481</v>
      </c>
    </row>
    <row r="203" spans="1:2" x14ac:dyDescent="0.25">
      <c r="A203" s="5" t="s">
        <v>482</v>
      </c>
      <c r="B203" s="5" t="s">
        <v>483</v>
      </c>
    </row>
    <row r="204" spans="1:2" x14ac:dyDescent="0.25">
      <c r="A204" s="5" t="s">
        <v>484</v>
      </c>
      <c r="B204" s="5" t="s">
        <v>485</v>
      </c>
    </row>
    <row r="205" spans="1:2" x14ac:dyDescent="0.25">
      <c r="A205" s="5" t="s">
        <v>486</v>
      </c>
      <c r="B205" s="5" t="s">
        <v>487</v>
      </c>
    </row>
    <row r="206" spans="1:2" x14ac:dyDescent="0.25">
      <c r="A206" s="5" t="s">
        <v>488</v>
      </c>
      <c r="B206" s="5" t="s">
        <v>489</v>
      </c>
    </row>
    <row r="207" spans="1:2" x14ac:dyDescent="0.25">
      <c r="A207" s="5" t="s">
        <v>490</v>
      </c>
      <c r="B207" s="5" t="s">
        <v>491</v>
      </c>
    </row>
    <row r="208" spans="1:2" x14ac:dyDescent="0.25">
      <c r="A208" s="5" t="s">
        <v>492</v>
      </c>
      <c r="B208" s="5" t="s">
        <v>493</v>
      </c>
    </row>
    <row r="209" spans="1:2" x14ac:dyDescent="0.25">
      <c r="A209" s="5" t="s">
        <v>494</v>
      </c>
      <c r="B209" s="5" t="s">
        <v>495</v>
      </c>
    </row>
    <row r="210" spans="1:2" x14ac:dyDescent="0.25">
      <c r="A210" s="5" t="s">
        <v>496</v>
      </c>
      <c r="B210" s="5" t="s">
        <v>497</v>
      </c>
    </row>
    <row r="211" spans="1:2" x14ac:dyDescent="0.25">
      <c r="A211" s="5" t="s">
        <v>498</v>
      </c>
      <c r="B211" s="5" t="s">
        <v>499</v>
      </c>
    </row>
    <row r="212" spans="1:2" x14ac:dyDescent="0.25">
      <c r="A212" s="5" t="s">
        <v>500</v>
      </c>
      <c r="B212" s="5" t="s">
        <v>501</v>
      </c>
    </row>
    <row r="213" spans="1:2" x14ac:dyDescent="0.25">
      <c r="A213" s="5" t="s">
        <v>502</v>
      </c>
      <c r="B213" s="5" t="s">
        <v>503</v>
      </c>
    </row>
    <row r="214" spans="1:2" x14ac:dyDescent="0.25">
      <c r="A214" s="5" t="s">
        <v>504</v>
      </c>
      <c r="B214" s="5" t="s">
        <v>505</v>
      </c>
    </row>
    <row r="215" spans="1:2" x14ac:dyDescent="0.25">
      <c r="A215" s="5" t="s">
        <v>506</v>
      </c>
      <c r="B215" s="5" t="s">
        <v>507</v>
      </c>
    </row>
    <row r="216" spans="1:2" x14ac:dyDescent="0.25">
      <c r="A216" s="5" t="s">
        <v>508</v>
      </c>
      <c r="B216" s="5" t="s">
        <v>508</v>
      </c>
    </row>
    <row r="217" spans="1:2" x14ac:dyDescent="0.25">
      <c r="A217" s="5" t="s">
        <v>509</v>
      </c>
      <c r="B217" s="5" t="s">
        <v>510</v>
      </c>
    </row>
    <row r="218" spans="1:2" x14ac:dyDescent="0.25">
      <c r="A218" s="5" t="s">
        <v>511</v>
      </c>
      <c r="B218" s="5" t="s">
        <v>512</v>
      </c>
    </row>
    <row r="219" spans="1:2" x14ac:dyDescent="0.25">
      <c r="A219" s="5" t="s">
        <v>513</v>
      </c>
      <c r="B219" s="5" t="s">
        <v>514</v>
      </c>
    </row>
    <row r="220" spans="1:2" x14ac:dyDescent="0.25">
      <c r="A220" s="5" t="s">
        <v>515</v>
      </c>
      <c r="B220" s="5" t="s">
        <v>516</v>
      </c>
    </row>
    <row r="221" spans="1:2" x14ac:dyDescent="0.25">
      <c r="A221" s="5" t="s">
        <v>517</v>
      </c>
      <c r="B221" s="5" t="s">
        <v>518</v>
      </c>
    </row>
    <row r="222" spans="1:2" x14ac:dyDescent="0.25">
      <c r="A222" s="5" t="s">
        <v>519</v>
      </c>
      <c r="B222" s="5" t="s">
        <v>520</v>
      </c>
    </row>
    <row r="223" spans="1:2" x14ac:dyDescent="0.25">
      <c r="A223" s="5" t="s">
        <v>521</v>
      </c>
      <c r="B223" s="5" t="s">
        <v>522</v>
      </c>
    </row>
    <row r="224" spans="1:2" x14ac:dyDescent="0.25">
      <c r="A224" s="5" t="s">
        <v>523</v>
      </c>
      <c r="B224" s="5" t="s">
        <v>524</v>
      </c>
    </row>
    <row r="225" spans="1:2" x14ac:dyDescent="0.25">
      <c r="A225" s="5" t="s">
        <v>525</v>
      </c>
      <c r="B225" s="5" t="s">
        <v>526</v>
      </c>
    </row>
    <row r="226" spans="1:2" x14ac:dyDescent="0.25">
      <c r="A226" s="5" t="s">
        <v>527</v>
      </c>
      <c r="B226" s="5" t="s">
        <v>528</v>
      </c>
    </row>
    <row r="227" spans="1:2" x14ac:dyDescent="0.25">
      <c r="A227" s="5" t="s">
        <v>529</v>
      </c>
      <c r="B227" s="5" t="s">
        <v>530</v>
      </c>
    </row>
    <row r="228" spans="1:2" x14ac:dyDescent="0.25">
      <c r="A228" s="5" t="s">
        <v>531</v>
      </c>
      <c r="B228" s="5" t="s">
        <v>532</v>
      </c>
    </row>
    <row r="229" spans="1:2" x14ac:dyDescent="0.25">
      <c r="A229" s="5" t="s">
        <v>533</v>
      </c>
      <c r="B229" s="5" t="s">
        <v>534</v>
      </c>
    </row>
    <row r="230" spans="1:2" x14ac:dyDescent="0.25">
      <c r="A230" s="5" t="s">
        <v>535</v>
      </c>
      <c r="B230" s="5" t="s">
        <v>536</v>
      </c>
    </row>
    <row r="231" spans="1:2" x14ac:dyDescent="0.25">
      <c r="A231" s="5" t="s">
        <v>537</v>
      </c>
      <c r="B231" s="5" t="s">
        <v>538</v>
      </c>
    </row>
    <row r="232" spans="1:2" x14ac:dyDescent="0.25">
      <c r="A232" s="5" t="s">
        <v>539</v>
      </c>
      <c r="B232" s="5" t="s">
        <v>540</v>
      </c>
    </row>
    <row r="233" spans="1:2" x14ac:dyDescent="0.25">
      <c r="A233" s="5" t="s">
        <v>541</v>
      </c>
      <c r="B233" s="5" t="s">
        <v>542</v>
      </c>
    </row>
    <row r="234" spans="1:2" x14ac:dyDescent="0.25">
      <c r="A234" s="5" t="s">
        <v>543</v>
      </c>
      <c r="B234" s="5" t="s">
        <v>544</v>
      </c>
    </row>
    <row r="235" spans="1:2" x14ac:dyDescent="0.25">
      <c r="A235" s="5" t="s">
        <v>545</v>
      </c>
      <c r="B235" s="5" t="s">
        <v>546</v>
      </c>
    </row>
    <row r="236" spans="1:2" x14ac:dyDescent="0.25">
      <c r="A236" s="5" t="s">
        <v>547</v>
      </c>
      <c r="B236" s="5" t="s">
        <v>548</v>
      </c>
    </row>
    <row r="237" spans="1:2" x14ac:dyDescent="0.25">
      <c r="A237" s="5" t="s">
        <v>549</v>
      </c>
      <c r="B237" s="5" t="s">
        <v>550</v>
      </c>
    </row>
    <row r="238" spans="1:2" x14ac:dyDescent="0.25">
      <c r="A238" s="5" t="s">
        <v>551</v>
      </c>
      <c r="B238" s="5" t="s">
        <v>552</v>
      </c>
    </row>
    <row r="239" spans="1:2" x14ac:dyDescent="0.25">
      <c r="A239" s="5" t="s">
        <v>553</v>
      </c>
      <c r="B239" s="5" t="s">
        <v>553</v>
      </c>
    </row>
    <row r="240" spans="1:2" x14ac:dyDescent="0.25">
      <c r="A240" s="5" t="s">
        <v>554</v>
      </c>
      <c r="B240" s="5" t="s">
        <v>555</v>
      </c>
    </row>
    <row r="241" spans="1:2" x14ac:dyDescent="0.25">
      <c r="A241" s="5" t="s">
        <v>556</v>
      </c>
      <c r="B241" s="5" t="s">
        <v>556</v>
      </c>
    </row>
    <row r="242" spans="1:2" x14ac:dyDescent="0.25">
      <c r="A242" s="5" t="s">
        <v>557</v>
      </c>
      <c r="B242" s="5" t="s">
        <v>557</v>
      </c>
    </row>
    <row r="243" spans="1:2" x14ac:dyDescent="0.25">
      <c r="A243" s="5" t="s">
        <v>558</v>
      </c>
      <c r="B243" s="5" t="s">
        <v>559</v>
      </c>
    </row>
    <row r="244" spans="1:2" x14ac:dyDescent="0.25">
      <c r="A244" s="5" t="s">
        <v>560</v>
      </c>
      <c r="B244" s="5" t="s">
        <v>561</v>
      </c>
    </row>
    <row r="245" spans="1:2" x14ac:dyDescent="0.25">
      <c r="A245" s="5" t="s">
        <v>562</v>
      </c>
      <c r="B245" s="5" t="s">
        <v>562</v>
      </c>
    </row>
    <row r="246" spans="1:2" x14ac:dyDescent="0.25">
      <c r="A246" s="5" t="s">
        <v>563</v>
      </c>
      <c r="B246" s="5" t="s">
        <v>563</v>
      </c>
    </row>
    <row r="247" spans="1:2" x14ac:dyDescent="0.25">
      <c r="A247" s="5" t="s">
        <v>564</v>
      </c>
      <c r="B247" s="5" t="s">
        <v>564</v>
      </c>
    </row>
    <row r="248" spans="1:2" x14ac:dyDescent="0.25">
      <c r="A248" s="5" t="s">
        <v>565</v>
      </c>
      <c r="B248" s="5" t="s">
        <v>565</v>
      </c>
    </row>
    <row r="249" spans="1:2" x14ac:dyDescent="0.25">
      <c r="A249" s="5" t="s">
        <v>566</v>
      </c>
      <c r="B249" s="5" t="s">
        <v>566</v>
      </c>
    </row>
    <row r="250" spans="1:2" x14ac:dyDescent="0.25">
      <c r="A250" s="5" t="s">
        <v>567</v>
      </c>
      <c r="B250" s="5" t="s">
        <v>568</v>
      </c>
    </row>
    <row r="251" spans="1:2" x14ac:dyDescent="0.25">
      <c r="A251" s="5" t="s">
        <v>569</v>
      </c>
      <c r="B251" s="5" t="s">
        <v>570</v>
      </c>
    </row>
    <row r="252" spans="1:2" x14ac:dyDescent="0.25">
      <c r="A252" s="5" t="s">
        <v>571</v>
      </c>
      <c r="B252" s="5" t="s">
        <v>572</v>
      </c>
    </row>
    <row r="253" spans="1:2" x14ac:dyDescent="0.25">
      <c r="A253" s="5" t="s">
        <v>573</v>
      </c>
      <c r="B253" s="5" t="s">
        <v>573</v>
      </c>
    </row>
    <row r="254" spans="1:2" x14ac:dyDescent="0.25">
      <c r="A254" s="5" t="s">
        <v>574</v>
      </c>
      <c r="B254" s="5" t="s">
        <v>575</v>
      </c>
    </row>
    <row r="255" spans="1:2" x14ac:dyDescent="0.25">
      <c r="A255" s="5" t="s">
        <v>576</v>
      </c>
      <c r="B255" s="5" t="s">
        <v>577</v>
      </c>
    </row>
    <row r="256" spans="1:2" x14ac:dyDescent="0.25">
      <c r="A256" s="5" t="s">
        <v>578</v>
      </c>
      <c r="B256" s="5" t="s">
        <v>578</v>
      </c>
    </row>
    <row r="257" spans="1:2" x14ac:dyDescent="0.25">
      <c r="A257" s="5" t="s">
        <v>579</v>
      </c>
      <c r="B257" s="5" t="s">
        <v>579</v>
      </c>
    </row>
    <row r="258" spans="1:2" x14ac:dyDescent="0.25">
      <c r="A258" s="5" t="s">
        <v>580</v>
      </c>
      <c r="B258" s="5" t="s">
        <v>581</v>
      </c>
    </row>
    <row r="259" spans="1:2" x14ac:dyDescent="0.25">
      <c r="A259" s="5" t="s">
        <v>582</v>
      </c>
      <c r="B259" s="5" t="s">
        <v>583</v>
      </c>
    </row>
    <row r="260" spans="1:2" x14ac:dyDescent="0.25">
      <c r="A260" s="5" t="s">
        <v>584</v>
      </c>
      <c r="B260" s="5" t="s">
        <v>584</v>
      </c>
    </row>
    <row r="261" spans="1:2" x14ac:dyDescent="0.25">
      <c r="A261" s="5" t="s">
        <v>585</v>
      </c>
      <c r="B261" s="5" t="s">
        <v>585</v>
      </c>
    </row>
    <row r="262" spans="1:2" x14ac:dyDescent="0.25">
      <c r="A262" s="5" t="s">
        <v>586</v>
      </c>
      <c r="B262" s="5" t="s">
        <v>587</v>
      </c>
    </row>
    <row r="263" spans="1:2" x14ac:dyDescent="0.25">
      <c r="A263" s="5" t="s">
        <v>588</v>
      </c>
      <c r="B263" s="5" t="s">
        <v>588</v>
      </c>
    </row>
    <row r="264" spans="1:2" x14ac:dyDescent="0.25">
      <c r="A264" s="5" t="s">
        <v>589</v>
      </c>
      <c r="B264" s="5" t="s">
        <v>589</v>
      </c>
    </row>
    <row r="265" spans="1:2" x14ac:dyDescent="0.25">
      <c r="A265" s="5" t="s">
        <v>590</v>
      </c>
      <c r="B265" s="5" t="s">
        <v>590</v>
      </c>
    </row>
    <row r="266" spans="1:2" x14ac:dyDescent="0.25">
      <c r="A266" s="5" t="s">
        <v>591</v>
      </c>
      <c r="B266" s="5" t="s">
        <v>592</v>
      </c>
    </row>
    <row r="267" spans="1:2" x14ac:dyDescent="0.25">
      <c r="A267" s="5" t="s">
        <v>593</v>
      </c>
      <c r="B267" s="5" t="s">
        <v>594</v>
      </c>
    </row>
    <row r="268" spans="1:2" x14ac:dyDescent="0.25">
      <c r="A268" s="5" t="s">
        <v>595</v>
      </c>
      <c r="B268" s="5" t="s">
        <v>596</v>
      </c>
    </row>
    <row r="269" spans="1:2" x14ac:dyDescent="0.25">
      <c r="A269" s="5" t="s">
        <v>597</v>
      </c>
      <c r="B269" s="5" t="s">
        <v>598</v>
      </c>
    </row>
    <row r="270" spans="1:2" x14ac:dyDescent="0.25">
      <c r="A270" s="5" t="s">
        <v>599</v>
      </c>
      <c r="B270" s="5" t="s">
        <v>600</v>
      </c>
    </row>
    <row r="271" spans="1:2" x14ac:dyDescent="0.25">
      <c r="A271" s="5" t="s">
        <v>601</v>
      </c>
      <c r="B271" s="5" t="s">
        <v>602</v>
      </c>
    </row>
    <row r="272" spans="1:2" x14ac:dyDescent="0.25">
      <c r="A272" s="5" t="s">
        <v>603</v>
      </c>
      <c r="B272" s="5" t="s">
        <v>604</v>
      </c>
    </row>
    <row r="273" spans="1:2" x14ac:dyDescent="0.25">
      <c r="A273" s="5" t="s">
        <v>605</v>
      </c>
      <c r="B273" s="5" t="s">
        <v>605</v>
      </c>
    </row>
    <row r="274" spans="1:2" x14ac:dyDescent="0.25">
      <c r="A274" s="5" t="s">
        <v>606</v>
      </c>
      <c r="B274" s="5" t="s">
        <v>607</v>
      </c>
    </row>
    <row r="275" spans="1:2" x14ac:dyDescent="0.25">
      <c r="A275" s="5" t="s">
        <v>608</v>
      </c>
      <c r="B275" s="5" t="s">
        <v>609</v>
      </c>
    </row>
    <row r="276" spans="1:2" x14ac:dyDescent="0.25">
      <c r="A276" s="5" t="s">
        <v>610</v>
      </c>
      <c r="B276" s="5" t="s">
        <v>611</v>
      </c>
    </row>
    <row r="277" spans="1:2" x14ac:dyDescent="0.25">
      <c r="A277" s="5" t="s">
        <v>612</v>
      </c>
      <c r="B277" s="5" t="s">
        <v>613</v>
      </c>
    </row>
    <row r="278" spans="1:2" x14ac:dyDescent="0.25">
      <c r="A278" s="5" t="s">
        <v>614</v>
      </c>
      <c r="B278" s="5" t="s">
        <v>615</v>
      </c>
    </row>
    <row r="279" spans="1:2" x14ac:dyDescent="0.25">
      <c r="A279" s="5" t="s">
        <v>616</v>
      </c>
      <c r="B279" s="5" t="s">
        <v>617</v>
      </c>
    </row>
    <row r="280" spans="1:2" x14ac:dyDescent="0.25">
      <c r="A280" s="5" t="s">
        <v>618</v>
      </c>
      <c r="B280" s="5" t="s">
        <v>618</v>
      </c>
    </row>
    <row r="281" spans="1:2" x14ac:dyDescent="0.25">
      <c r="A281" s="5" t="s">
        <v>619</v>
      </c>
      <c r="B281" s="5" t="s">
        <v>620</v>
      </c>
    </row>
    <row r="282" spans="1:2" x14ac:dyDescent="0.25">
      <c r="A282" s="5" t="s">
        <v>621</v>
      </c>
      <c r="B282" s="5" t="s">
        <v>622</v>
      </c>
    </row>
    <row r="283" spans="1:2" x14ac:dyDescent="0.25">
      <c r="A283" s="5" t="s">
        <v>623</v>
      </c>
      <c r="B283" s="5" t="s">
        <v>624</v>
      </c>
    </row>
    <row r="284" spans="1:2" x14ac:dyDescent="0.25">
      <c r="A284" s="5" t="s">
        <v>625</v>
      </c>
      <c r="B284" s="5" t="s">
        <v>626</v>
      </c>
    </row>
    <row r="285" spans="1:2" x14ac:dyDescent="0.25">
      <c r="A285" s="5" t="s">
        <v>627</v>
      </c>
      <c r="B285" s="5" t="s">
        <v>628</v>
      </c>
    </row>
    <row r="286" spans="1:2" x14ac:dyDescent="0.25">
      <c r="A286" s="5" t="s">
        <v>629</v>
      </c>
      <c r="B286" s="5" t="s">
        <v>630</v>
      </c>
    </row>
    <row r="287" spans="1:2" x14ac:dyDescent="0.25">
      <c r="A287" s="5" t="s">
        <v>631</v>
      </c>
      <c r="B287" s="5" t="s">
        <v>632</v>
      </c>
    </row>
    <row r="288" spans="1:2" x14ac:dyDescent="0.25">
      <c r="A288" s="5" t="s">
        <v>633</v>
      </c>
      <c r="B288" s="5" t="s">
        <v>634</v>
      </c>
    </row>
    <row r="289" spans="1:2" x14ac:dyDescent="0.25">
      <c r="A289" s="5" t="s">
        <v>635</v>
      </c>
      <c r="B289" s="5" t="s">
        <v>635</v>
      </c>
    </row>
    <row r="290" spans="1:2" x14ac:dyDescent="0.25">
      <c r="A290" s="5" t="s">
        <v>636</v>
      </c>
      <c r="B290" s="5" t="s">
        <v>636</v>
      </c>
    </row>
    <row r="291" spans="1:2" x14ac:dyDescent="0.25">
      <c r="A291" s="5" t="s">
        <v>637</v>
      </c>
      <c r="B291" s="5" t="s">
        <v>637</v>
      </c>
    </row>
    <row r="292" spans="1:2" x14ac:dyDescent="0.25">
      <c r="A292" s="5" t="s">
        <v>638</v>
      </c>
      <c r="B292" s="5" t="s">
        <v>639</v>
      </c>
    </row>
    <row r="293" spans="1:2" x14ac:dyDescent="0.25">
      <c r="A293" s="5" t="s">
        <v>640</v>
      </c>
      <c r="B293" s="5" t="s">
        <v>641</v>
      </c>
    </row>
    <row r="294" spans="1:2" x14ac:dyDescent="0.25">
      <c r="A294" s="5" t="s">
        <v>642</v>
      </c>
      <c r="B294" s="5" t="s">
        <v>642</v>
      </c>
    </row>
    <row r="295" spans="1:2" x14ac:dyDescent="0.25">
      <c r="A295" s="5" t="s">
        <v>643</v>
      </c>
      <c r="B295" s="5" t="s">
        <v>644</v>
      </c>
    </row>
    <row r="296" spans="1:2" x14ac:dyDescent="0.25">
      <c r="A296" s="5" t="s">
        <v>645</v>
      </c>
      <c r="B296" s="5" t="s">
        <v>646</v>
      </c>
    </row>
    <row r="297" spans="1:2" x14ac:dyDescent="0.25">
      <c r="A297" s="5" t="s">
        <v>647</v>
      </c>
      <c r="B297" s="5" t="s">
        <v>648</v>
      </c>
    </row>
    <row r="298" spans="1:2" x14ac:dyDescent="0.25">
      <c r="A298" s="5" t="s">
        <v>649</v>
      </c>
      <c r="B298" s="5" t="s">
        <v>650</v>
      </c>
    </row>
    <row r="299" spans="1:2" x14ac:dyDescent="0.25">
      <c r="A299" s="5" t="s">
        <v>651</v>
      </c>
      <c r="B299" s="5" t="s">
        <v>652</v>
      </c>
    </row>
    <row r="300" spans="1:2" x14ac:dyDescent="0.25">
      <c r="A300" s="5" t="s">
        <v>653</v>
      </c>
      <c r="B300" s="5" t="s">
        <v>654</v>
      </c>
    </row>
    <row r="301" spans="1:2" x14ac:dyDescent="0.25">
      <c r="A301" s="5" t="s">
        <v>655</v>
      </c>
      <c r="B301" s="5" t="s">
        <v>656</v>
      </c>
    </row>
    <row r="302" spans="1:2" x14ac:dyDescent="0.25">
      <c r="A302" s="5" t="s">
        <v>657</v>
      </c>
      <c r="B302" s="5" t="s">
        <v>658</v>
      </c>
    </row>
    <row r="303" spans="1:2" x14ac:dyDescent="0.25">
      <c r="A303" s="5" t="s">
        <v>659</v>
      </c>
      <c r="B303" s="5" t="s">
        <v>660</v>
      </c>
    </row>
    <row r="304" spans="1:2" x14ac:dyDescent="0.25">
      <c r="A304" s="5" t="s">
        <v>661</v>
      </c>
      <c r="B304" s="5" t="s">
        <v>662</v>
      </c>
    </row>
    <row r="305" spans="1:2" x14ac:dyDescent="0.25">
      <c r="A305" s="5" t="s">
        <v>663</v>
      </c>
      <c r="B305" s="5" t="s">
        <v>664</v>
      </c>
    </row>
    <row r="306" spans="1:2" x14ac:dyDescent="0.25">
      <c r="A306" s="5" t="s">
        <v>665</v>
      </c>
      <c r="B306" s="5" t="s">
        <v>665</v>
      </c>
    </row>
    <row r="307" spans="1:2" x14ac:dyDescent="0.25">
      <c r="A307" s="5" t="s">
        <v>666</v>
      </c>
      <c r="B307" s="5" t="s">
        <v>666</v>
      </c>
    </row>
    <row r="308" spans="1:2" x14ac:dyDescent="0.25">
      <c r="A308" s="5" t="s">
        <v>667</v>
      </c>
      <c r="B308" s="5" t="s">
        <v>667</v>
      </c>
    </row>
    <row r="309" spans="1:2" x14ac:dyDescent="0.25">
      <c r="A309" s="5" t="s">
        <v>668</v>
      </c>
      <c r="B309" s="5" t="s">
        <v>668</v>
      </c>
    </row>
    <row r="310" spans="1:2" x14ac:dyDescent="0.25">
      <c r="A310" s="5" t="s">
        <v>669</v>
      </c>
      <c r="B310" s="5" t="s">
        <v>669</v>
      </c>
    </row>
    <row r="311" spans="1:2" x14ac:dyDescent="0.25">
      <c r="A311" s="5" t="s">
        <v>670</v>
      </c>
      <c r="B311" s="5" t="s">
        <v>671</v>
      </c>
    </row>
    <row r="312" spans="1:2" x14ac:dyDescent="0.25">
      <c r="A312" s="5" t="s">
        <v>672</v>
      </c>
      <c r="B312" s="5" t="s">
        <v>673</v>
      </c>
    </row>
    <row r="313" spans="1:2" x14ac:dyDescent="0.25">
      <c r="A313" s="5" t="s">
        <v>674</v>
      </c>
      <c r="B313" s="5" t="s">
        <v>674</v>
      </c>
    </row>
    <row r="314" spans="1:2" x14ac:dyDescent="0.25">
      <c r="A314" s="5" t="s">
        <v>675</v>
      </c>
      <c r="B314" s="5" t="s">
        <v>676</v>
      </c>
    </row>
    <row r="315" spans="1:2" x14ac:dyDescent="0.25">
      <c r="A315" s="5" t="s">
        <v>677</v>
      </c>
      <c r="B315" s="5" t="s">
        <v>678</v>
      </c>
    </row>
    <row r="316" spans="1:2" x14ac:dyDescent="0.25">
      <c r="A316" s="5" t="s">
        <v>679</v>
      </c>
      <c r="B316" s="5" t="s">
        <v>680</v>
      </c>
    </row>
    <row r="317" spans="1:2" x14ac:dyDescent="0.25">
      <c r="A317" s="5" t="s">
        <v>681</v>
      </c>
      <c r="B317" s="5" t="s">
        <v>682</v>
      </c>
    </row>
    <row r="318" spans="1:2" x14ac:dyDescent="0.25">
      <c r="A318" s="5" t="s">
        <v>683</v>
      </c>
      <c r="B318" s="5" t="s">
        <v>684</v>
      </c>
    </row>
    <row r="319" spans="1:2" x14ac:dyDescent="0.25">
      <c r="A319" s="5" t="s">
        <v>685</v>
      </c>
      <c r="B319" s="5" t="s">
        <v>686</v>
      </c>
    </row>
    <row r="320" spans="1:2" x14ac:dyDescent="0.25">
      <c r="A320" s="5" t="s">
        <v>687</v>
      </c>
      <c r="B320" s="5" t="s">
        <v>688</v>
      </c>
    </row>
    <row r="321" spans="1:2" x14ac:dyDescent="0.25">
      <c r="A321" s="5" t="s">
        <v>689</v>
      </c>
      <c r="B321" s="5" t="s">
        <v>690</v>
      </c>
    </row>
    <row r="322" spans="1:2" x14ac:dyDescent="0.25">
      <c r="A322" s="5" t="s">
        <v>691</v>
      </c>
      <c r="B322" s="5" t="s">
        <v>692</v>
      </c>
    </row>
    <row r="323" spans="1:2" x14ac:dyDescent="0.25">
      <c r="A323" s="5" t="s">
        <v>693</v>
      </c>
      <c r="B323" s="5" t="s">
        <v>694</v>
      </c>
    </row>
    <row r="324" spans="1:2" x14ac:dyDescent="0.25">
      <c r="A324" s="5" t="s">
        <v>695</v>
      </c>
      <c r="B324" s="5" t="s">
        <v>696</v>
      </c>
    </row>
    <row r="325" spans="1:2" x14ac:dyDescent="0.25">
      <c r="A325" s="5" t="s">
        <v>697</v>
      </c>
      <c r="B325" s="5" t="s">
        <v>698</v>
      </c>
    </row>
    <row r="326" spans="1:2" x14ac:dyDescent="0.25">
      <c r="A326" s="5" t="s">
        <v>699</v>
      </c>
      <c r="B326" s="5" t="s">
        <v>700</v>
      </c>
    </row>
    <row r="327" spans="1:2" x14ac:dyDescent="0.25">
      <c r="A327" s="5" t="s">
        <v>701</v>
      </c>
      <c r="B327" s="5" t="s">
        <v>702</v>
      </c>
    </row>
    <row r="328" spans="1:2" x14ac:dyDescent="0.25">
      <c r="A328" s="5" t="s">
        <v>703</v>
      </c>
      <c r="B328" s="5" t="s">
        <v>704</v>
      </c>
    </row>
    <row r="329" spans="1:2" x14ac:dyDescent="0.25">
      <c r="A329" s="5" t="s">
        <v>705</v>
      </c>
      <c r="B329" s="5" t="s">
        <v>706</v>
      </c>
    </row>
    <row r="330" spans="1:2" x14ac:dyDescent="0.25">
      <c r="A330" s="5" t="s">
        <v>707</v>
      </c>
      <c r="B330" s="5" t="s">
        <v>708</v>
      </c>
    </row>
    <row r="331" spans="1:2" x14ac:dyDescent="0.25">
      <c r="A331" s="5" t="s">
        <v>709</v>
      </c>
      <c r="B331" s="5" t="s">
        <v>710</v>
      </c>
    </row>
    <row r="332" spans="1:2" x14ac:dyDescent="0.25">
      <c r="A332" s="5" t="s">
        <v>711</v>
      </c>
      <c r="B332" s="5" t="s">
        <v>712</v>
      </c>
    </row>
    <row r="333" spans="1:2" x14ac:dyDescent="0.25">
      <c r="A333" s="5" t="s">
        <v>713</v>
      </c>
      <c r="B333" s="5" t="s">
        <v>713</v>
      </c>
    </row>
    <row r="334" spans="1:2" x14ac:dyDescent="0.25">
      <c r="A334" s="5" t="s">
        <v>714</v>
      </c>
      <c r="B334" s="5" t="s">
        <v>715</v>
      </c>
    </row>
    <row r="335" spans="1:2" x14ac:dyDescent="0.25">
      <c r="A335" s="5" t="s">
        <v>716</v>
      </c>
      <c r="B335" s="5" t="s">
        <v>717</v>
      </c>
    </row>
    <row r="336" spans="1:2" x14ac:dyDescent="0.25">
      <c r="A336" s="5" t="s">
        <v>718</v>
      </c>
      <c r="B336" s="5" t="s">
        <v>718</v>
      </c>
    </row>
    <row r="337" spans="1:2" x14ac:dyDescent="0.25">
      <c r="A337" s="5" t="s">
        <v>719</v>
      </c>
      <c r="B337" s="5" t="s">
        <v>720</v>
      </c>
    </row>
    <row r="338" spans="1:2" x14ac:dyDescent="0.25">
      <c r="A338" s="5" t="s">
        <v>721</v>
      </c>
      <c r="B338" s="5" t="s">
        <v>722</v>
      </c>
    </row>
    <row r="339" spans="1:2" x14ac:dyDescent="0.25">
      <c r="A339" s="5" t="s">
        <v>723</v>
      </c>
      <c r="B339" s="5" t="s">
        <v>724</v>
      </c>
    </row>
    <row r="340" spans="1:2" x14ac:dyDescent="0.25">
      <c r="A340" s="5" t="s">
        <v>725</v>
      </c>
      <c r="B340" s="5" t="s">
        <v>725</v>
      </c>
    </row>
    <row r="341" spans="1:2" x14ac:dyDescent="0.25">
      <c r="A341" s="5" t="s">
        <v>726</v>
      </c>
      <c r="B341" s="5" t="s">
        <v>727</v>
      </c>
    </row>
    <row r="342" spans="1:2" x14ac:dyDescent="0.25">
      <c r="A342" s="5" t="s">
        <v>728</v>
      </c>
      <c r="B342" s="5" t="s">
        <v>729</v>
      </c>
    </row>
    <row r="343" spans="1:2" x14ac:dyDescent="0.25">
      <c r="A343" s="5" t="s">
        <v>730</v>
      </c>
      <c r="B343" s="5" t="s">
        <v>731</v>
      </c>
    </row>
    <row r="344" spans="1:2" x14ac:dyDescent="0.25">
      <c r="A344" s="5" t="s">
        <v>732</v>
      </c>
      <c r="B344" s="5" t="s">
        <v>733</v>
      </c>
    </row>
    <row r="345" spans="1:2" x14ac:dyDescent="0.25">
      <c r="A345" s="5" t="s">
        <v>734</v>
      </c>
      <c r="B345" s="5" t="s">
        <v>735</v>
      </c>
    </row>
    <row r="346" spans="1:2" x14ac:dyDescent="0.25">
      <c r="A346" s="5" t="s">
        <v>736</v>
      </c>
      <c r="B346" s="5" t="s">
        <v>737</v>
      </c>
    </row>
    <row r="347" spans="1:2" x14ac:dyDescent="0.25">
      <c r="A347" s="5" t="s">
        <v>738</v>
      </c>
      <c r="B347" s="5" t="s">
        <v>739</v>
      </c>
    </row>
    <row r="348" spans="1:2" x14ac:dyDescent="0.25">
      <c r="A348" s="5" t="s">
        <v>740</v>
      </c>
      <c r="B348" s="5" t="s">
        <v>741</v>
      </c>
    </row>
    <row r="349" spans="1:2" x14ac:dyDescent="0.25">
      <c r="A349" s="5" t="s">
        <v>742</v>
      </c>
      <c r="B349" s="5" t="s">
        <v>743</v>
      </c>
    </row>
    <row r="350" spans="1:2" x14ac:dyDescent="0.25">
      <c r="A350" s="5" t="s">
        <v>744</v>
      </c>
      <c r="B350" s="5" t="s">
        <v>745</v>
      </c>
    </row>
    <row r="351" spans="1:2" x14ac:dyDescent="0.25">
      <c r="A351" s="5" t="s">
        <v>746</v>
      </c>
      <c r="B351" s="5" t="s">
        <v>746</v>
      </c>
    </row>
    <row r="352" spans="1:2" x14ac:dyDescent="0.25">
      <c r="A352" s="5" t="s">
        <v>747</v>
      </c>
      <c r="B352" s="5" t="s">
        <v>748</v>
      </c>
    </row>
    <row r="353" spans="1:2" x14ac:dyDescent="0.25">
      <c r="A353" s="5" t="s">
        <v>749</v>
      </c>
      <c r="B353" s="5" t="s">
        <v>750</v>
      </c>
    </row>
    <row r="354" spans="1:2" x14ac:dyDescent="0.25">
      <c r="A354" s="5" t="s">
        <v>82</v>
      </c>
      <c r="B354" s="5" t="s">
        <v>82</v>
      </c>
    </row>
    <row r="355" spans="1:2" x14ac:dyDescent="0.25">
      <c r="A355" s="5" t="s">
        <v>751</v>
      </c>
      <c r="B355" s="5" t="s">
        <v>752</v>
      </c>
    </row>
    <row r="356" spans="1:2" x14ac:dyDescent="0.25">
      <c r="A356" s="5" t="s">
        <v>753</v>
      </c>
      <c r="B356" s="5" t="s">
        <v>754</v>
      </c>
    </row>
    <row r="357" spans="1:2" x14ac:dyDescent="0.25">
      <c r="A357" s="5" t="s">
        <v>755</v>
      </c>
      <c r="B357" s="5" t="s">
        <v>756</v>
      </c>
    </row>
    <row r="358" spans="1:2" x14ac:dyDescent="0.25">
      <c r="A358" s="5" t="s">
        <v>757</v>
      </c>
      <c r="B358" s="5" t="s">
        <v>757</v>
      </c>
    </row>
    <row r="359" spans="1:2" x14ac:dyDescent="0.25">
      <c r="A359" s="5" t="s">
        <v>758</v>
      </c>
      <c r="B359" s="5" t="s">
        <v>759</v>
      </c>
    </row>
    <row r="360" spans="1:2" x14ac:dyDescent="0.25">
      <c r="A360" s="5" t="s">
        <v>760</v>
      </c>
      <c r="B360" s="5" t="s">
        <v>761</v>
      </c>
    </row>
    <row r="361" spans="1:2" x14ac:dyDescent="0.25">
      <c r="A361" s="5" t="s">
        <v>762</v>
      </c>
      <c r="B361" s="5" t="s">
        <v>763</v>
      </c>
    </row>
    <row r="362" spans="1:2" x14ac:dyDescent="0.25">
      <c r="A362" s="5" t="s">
        <v>764</v>
      </c>
      <c r="B362" s="5" t="s">
        <v>764</v>
      </c>
    </row>
    <row r="363" spans="1:2" x14ac:dyDescent="0.25">
      <c r="A363" s="5" t="s">
        <v>765</v>
      </c>
      <c r="B363" s="5" t="s">
        <v>766</v>
      </c>
    </row>
    <row r="364" spans="1:2" x14ac:dyDescent="0.25">
      <c r="A364" s="5" t="s">
        <v>767</v>
      </c>
      <c r="B364" s="5" t="s">
        <v>768</v>
      </c>
    </row>
    <row r="365" spans="1:2" x14ac:dyDescent="0.25">
      <c r="A365" s="5" t="s">
        <v>769</v>
      </c>
      <c r="B365" s="5" t="s">
        <v>770</v>
      </c>
    </row>
    <row r="366" spans="1:2" x14ac:dyDescent="0.25">
      <c r="A366" s="5" t="s">
        <v>771</v>
      </c>
      <c r="B366" s="5" t="s">
        <v>772</v>
      </c>
    </row>
    <row r="367" spans="1:2" x14ac:dyDescent="0.25">
      <c r="A367" s="5" t="s">
        <v>773</v>
      </c>
      <c r="B367" s="5" t="s">
        <v>774</v>
      </c>
    </row>
    <row r="368" spans="1:2" x14ac:dyDescent="0.25">
      <c r="A368" s="5" t="s">
        <v>775</v>
      </c>
      <c r="B368" s="5" t="s">
        <v>776</v>
      </c>
    </row>
    <row r="369" spans="1:2" x14ac:dyDescent="0.25">
      <c r="A369" s="5" t="s">
        <v>777</v>
      </c>
      <c r="B369" s="5" t="s">
        <v>778</v>
      </c>
    </row>
    <row r="370" spans="1:2" x14ac:dyDescent="0.25">
      <c r="A370" s="5" t="s">
        <v>779</v>
      </c>
      <c r="B370" s="5" t="s">
        <v>780</v>
      </c>
    </row>
    <row r="371" spans="1:2" x14ac:dyDescent="0.25">
      <c r="A371" s="5" t="s">
        <v>781</v>
      </c>
      <c r="B371" s="5" t="s">
        <v>782</v>
      </c>
    </row>
    <row r="372" spans="1:2" x14ac:dyDescent="0.25">
      <c r="A372" s="5" t="s">
        <v>783</v>
      </c>
      <c r="B372" s="5" t="s">
        <v>784</v>
      </c>
    </row>
    <row r="373" spans="1:2" x14ac:dyDescent="0.25">
      <c r="A373" s="5" t="s">
        <v>785</v>
      </c>
      <c r="B373" s="5" t="s">
        <v>786</v>
      </c>
    </row>
    <row r="374" spans="1:2" x14ac:dyDescent="0.25">
      <c r="A374" s="5" t="s">
        <v>787</v>
      </c>
      <c r="B374" s="5" t="s">
        <v>788</v>
      </c>
    </row>
    <row r="375" spans="1:2" x14ac:dyDescent="0.25">
      <c r="A375" s="5" t="s">
        <v>789</v>
      </c>
      <c r="B375" s="5" t="s">
        <v>790</v>
      </c>
    </row>
    <row r="376" spans="1:2" x14ac:dyDescent="0.25">
      <c r="A376" s="5" t="s">
        <v>791</v>
      </c>
      <c r="B376" s="5" t="s">
        <v>792</v>
      </c>
    </row>
    <row r="377" spans="1:2" x14ac:dyDescent="0.25">
      <c r="A377" s="5" t="s">
        <v>793</v>
      </c>
      <c r="B377" s="5" t="s">
        <v>794</v>
      </c>
    </row>
    <row r="378" spans="1:2" x14ac:dyDescent="0.25">
      <c r="A378" s="5" t="s">
        <v>795</v>
      </c>
      <c r="B378" s="5" t="s">
        <v>796</v>
      </c>
    </row>
    <row r="379" spans="1:2" x14ac:dyDescent="0.25">
      <c r="A379" s="5" t="s">
        <v>797</v>
      </c>
      <c r="B379" s="5" t="s">
        <v>798</v>
      </c>
    </row>
    <row r="380" spans="1:2" x14ac:dyDescent="0.25">
      <c r="A380" s="5" t="s">
        <v>799</v>
      </c>
      <c r="B380" s="5" t="s">
        <v>800</v>
      </c>
    </row>
    <row r="381" spans="1:2" x14ac:dyDescent="0.25">
      <c r="A381" s="5" t="s">
        <v>801</v>
      </c>
      <c r="B381" s="5" t="s">
        <v>802</v>
      </c>
    </row>
    <row r="382" spans="1:2" x14ac:dyDescent="0.25">
      <c r="A382" s="5" t="s">
        <v>803</v>
      </c>
      <c r="B382" s="5" t="s">
        <v>804</v>
      </c>
    </row>
    <row r="383" spans="1:2" x14ac:dyDescent="0.25">
      <c r="A383" s="5" t="s">
        <v>78</v>
      </c>
      <c r="B383" s="5" t="s">
        <v>805</v>
      </c>
    </row>
    <row r="384" spans="1:2" x14ac:dyDescent="0.25">
      <c r="A384" s="5" t="s">
        <v>806</v>
      </c>
      <c r="B384" s="5" t="s">
        <v>807</v>
      </c>
    </row>
    <row r="385" spans="1:2" x14ac:dyDescent="0.25">
      <c r="A385" s="5" t="s">
        <v>808</v>
      </c>
      <c r="B385" s="5" t="s">
        <v>809</v>
      </c>
    </row>
    <row r="386" spans="1:2" x14ac:dyDescent="0.25">
      <c r="A386" s="5" t="s">
        <v>810</v>
      </c>
      <c r="B386" s="5" t="s">
        <v>811</v>
      </c>
    </row>
    <row r="387" spans="1:2" x14ac:dyDescent="0.25">
      <c r="A387" s="5" t="s">
        <v>812</v>
      </c>
      <c r="B387" s="5" t="s">
        <v>813</v>
      </c>
    </row>
    <row r="388" spans="1:2" x14ac:dyDescent="0.25">
      <c r="A388" s="5" t="s">
        <v>814</v>
      </c>
      <c r="B388" s="5" t="s">
        <v>815</v>
      </c>
    </row>
    <row r="389" spans="1:2" x14ac:dyDescent="0.25">
      <c r="A389" s="5" t="s">
        <v>816</v>
      </c>
      <c r="B389" s="5" t="s">
        <v>817</v>
      </c>
    </row>
    <row r="390" spans="1:2" x14ac:dyDescent="0.25">
      <c r="A390" s="5" t="s">
        <v>818</v>
      </c>
      <c r="B390" s="5" t="s">
        <v>819</v>
      </c>
    </row>
    <row r="391" spans="1:2" x14ac:dyDescent="0.25">
      <c r="A391" s="5" t="s">
        <v>820</v>
      </c>
      <c r="B391" s="5" t="s">
        <v>821</v>
      </c>
    </row>
    <row r="392" spans="1:2" x14ac:dyDescent="0.25">
      <c r="A392" s="5" t="s">
        <v>0</v>
      </c>
      <c r="B392" s="5" t="s">
        <v>0</v>
      </c>
    </row>
    <row r="393" spans="1:2" x14ac:dyDescent="0.25">
      <c r="A393" s="5" t="s">
        <v>822</v>
      </c>
      <c r="B393" s="5" t="s">
        <v>822</v>
      </c>
    </row>
    <row r="394" spans="1:2" x14ac:dyDescent="0.25">
      <c r="A394" s="5" t="s">
        <v>823</v>
      </c>
      <c r="B394" s="5" t="s">
        <v>824</v>
      </c>
    </row>
    <row r="395" spans="1:2" x14ac:dyDescent="0.25">
      <c r="A395" s="5" t="s">
        <v>825</v>
      </c>
      <c r="B395" s="5" t="s">
        <v>825</v>
      </c>
    </row>
    <row r="396" spans="1:2" x14ac:dyDescent="0.25">
      <c r="A396" s="5" t="s">
        <v>826</v>
      </c>
      <c r="B396" s="5" t="s">
        <v>827</v>
      </c>
    </row>
    <row r="397" spans="1:2" x14ac:dyDescent="0.25">
      <c r="A397" s="5" t="s">
        <v>828</v>
      </c>
      <c r="B397" s="5" t="s">
        <v>829</v>
      </c>
    </row>
    <row r="398" spans="1:2" x14ac:dyDescent="0.25">
      <c r="A398" s="5" t="s">
        <v>830</v>
      </c>
      <c r="B398" s="5" t="s">
        <v>831</v>
      </c>
    </row>
    <row r="399" spans="1:2" x14ac:dyDescent="0.25">
      <c r="A399" s="5" t="s">
        <v>832</v>
      </c>
      <c r="B399" s="5" t="s">
        <v>833</v>
      </c>
    </row>
    <row r="400" spans="1:2" x14ac:dyDescent="0.25">
      <c r="A400" s="5" t="s">
        <v>834</v>
      </c>
      <c r="B400" s="5" t="s">
        <v>835</v>
      </c>
    </row>
    <row r="401" spans="1:2" x14ac:dyDescent="0.25">
      <c r="A401" s="5" t="s">
        <v>836</v>
      </c>
      <c r="B401" s="5" t="s">
        <v>837</v>
      </c>
    </row>
    <row r="402" spans="1:2" x14ac:dyDescent="0.25">
      <c r="A402" s="5" t="s">
        <v>838</v>
      </c>
      <c r="B402" s="5" t="s">
        <v>838</v>
      </c>
    </row>
    <row r="403" spans="1:2" x14ac:dyDescent="0.25">
      <c r="A403" s="5" t="s">
        <v>839</v>
      </c>
      <c r="B403" s="5" t="s">
        <v>840</v>
      </c>
    </row>
    <row r="404" spans="1:2" x14ac:dyDescent="0.25">
      <c r="A404" s="5" t="s">
        <v>841</v>
      </c>
      <c r="B404" s="5" t="s">
        <v>842</v>
      </c>
    </row>
    <row r="405" spans="1:2" x14ac:dyDescent="0.25">
      <c r="A405" s="5" t="s">
        <v>843</v>
      </c>
      <c r="B405" s="5" t="s">
        <v>844</v>
      </c>
    </row>
    <row r="406" spans="1:2" x14ac:dyDescent="0.25">
      <c r="A406" s="5" t="s">
        <v>845</v>
      </c>
      <c r="B406" s="5" t="s">
        <v>846</v>
      </c>
    </row>
    <row r="407" spans="1:2" x14ac:dyDescent="0.25">
      <c r="A407" s="5" t="s">
        <v>847</v>
      </c>
      <c r="B407" s="5" t="s">
        <v>848</v>
      </c>
    </row>
    <row r="408" spans="1:2" x14ac:dyDescent="0.25">
      <c r="A408" s="5" t="s">
        <v>849</v>
      </c>
      <c r="B408" s="5" t="s">
        <v>850</v>
      </c>
    </row>
    <row r="409" spans="1:2" x14ac:dyDescent="0.25">
      <c r="A409" s="5" t="s">
        <v>851</v>
      </c>
      <c r="B409" s="5" t="s">
        <v>851</v>
      </c>
    </row>
    <row r="410" spans="1:2" x14ac:dyDescent="0.25">
      <c r="A410" s="5" t="s">
        <v>852</v>
      </c>
      <c r="B410" s="5" t="s">
        <v>853</v>
      </c>
    </row>
    <row r="411" spans="1:2" x14ac:dyDescent="0.25">
      <c r="A411" s="5" t="s">
        <v>854</v>
      </c>
      <c r="B411" s="5" t="s">
        <v>855</v>
      </c>
    </row>
    <row r="412" spans="1:2" x14ac:dyDescent="0.25">
      <c r="A412" s="5" t="s">
        <v>856</v>
      </c>
      <c r="B412" s="5" t="s">
        <v>857</v>
      </c>
    </row>
    <row r="413" spans="1:2" x14ac:dyDescent="0.25">
      <c r="A413" s="5" t="s">
        <v>858</v>
      </c>
      <c r="B413" s="5" t="s">
        <v>859</v>
      </c>
    </row>
    <row r="414" spans="1:2" x14ac:dyDescent="0.25">
      <c r="A414" s="5" t="s">
        <v>860</v>
      </c>
      <c r="B414" s="5" t="s">
        <v>861</v>
      </c>
    </row>
    <row r="415" spans="1:2" x14ac:dyDescent="0.25">
      <c r="A415" s="5" t="s">
        <v>862</v>
      </c>
      <c r="B415" s="5" t="s">
        <v>862</v>
      </c>
    </row>
    <row r="416" spans="1:2" x14ac:dyDescent="0.25">
      <c r="A416" s="5" t="s">
        <v>863</v>
      </c>
      <c r="B416" s="5" t="s">
        <v>863</v>
      </c>
    </row>
    <row r="417" spans="1:2" x14ac:dyDescent="0.25">
      <c r="A417" s="5" t="s">
        <v>864</v>
      </c>
      <c r="B417" s="5" t="s">
        <v>864</v>
      </c>
    </row>
    <row r="418" spans="1:2" x14ac:dyDescent="0.25">
      <c r="A418" s="5" t="s">
        <v>865</v>
      </c>
      <c r="B418" s="5" t="s">
        <v>866</v>
      </c>
    </row>
    <row r="419" spans="1:2" x14ac:dyDescent="0.25">
      <c r="A419" s="5" t="s">
        <v>867</v>
      </c>
      <c r="B419" s="5" t="s">
        <v>868</v>
      </c>
    </row>
    <row r="420" spans="1:2" x14ac:dyDescent="0.25">
      <c r="A420" s="5" t="s">
        <v>869</v>
      </c>
      <c r="B420" s="5" t="s">
        <v>870</v>
      </c>
    </row>
    <row r="421" spans="1:2" x14ac:dyDescent="0.25">
      <c r="A421" s="5" t="s">
        <v>871</v>
      </c>
      <c r="B421" s="5" t="s">
        <v>872</v>
      </c>
    </row>
    <row r="422" spans="1:2" x14ac:dyDescent="0.25">
      <c r="A422" s="5" t="s">
        <v>873</v>
      </c>
      <c r="B422" s="5" t="s">
        <v>874</v>
      </c>
    </row>
    <row r="423" spans="1:2" x14ac:dyDescent="0.25">
      <c r="A423" s="5" t="s">
        <v>875</v>
      </c>
      <c r="B423" s="5" t="s">
        <v>875</v>
      </c>
    </row>
    <row r="424" spans="1:2" x14ac:dyDescent="0.25">
      <c r="A424" s="5" t="s">
        <v>876</v>
      </c>
      <c r="B424" s="5" t="s">
        <v>877</v>
      </c>
    </row>
    <row r="425" spans="1:2" x14ac:dyDescent="0.25">
      <c r="A425" s="5" t="s">
        <v>878</v>
      </c>
      <c r="B425" s="5" t="s">
        <v>879</v>
      </c>
    </row>
    <row r="426" spans="1:2" x14ac:dyDescent="0.25">
      <c r="A426" s="5" t="s">
        <v>880</v>
      </c>
      <c r="B426" s="5" t="s">
        <v>881</v>
      </c>
    </row>
    <row r="427" spans="1:2" x14ac:dyDescent="0.25">
      <c r="A427" s="5" t="s">
        <v>882</v>
      </c>
      <c r="B427" s="5" t="s">
        <v>883</v>
      </c>
    </row>
    <row r="428" spans="1:2" x14ac:dyDescent="0.25">
      <c r="A428" s="5" t="s">
        <v>884</v>
      </c>
      <c r="B428" s="5" t="s">
        <v>885</v>
      </c>
    </row>
    <row r="429" spans="1:2" x14ac:dyDescent="0.25">
      <c r="A429" s="5" t="s">
        <v>886</v>
      </c>
      <c r="B429" s="5" t="s">
        <v>887</v>
      </c>
    </row>
    <row r="430" spans="1:2" x14ac:dyDescent="0.25">
      <c r="A430" s="5" t="s">
        <v>888</v>
      </c>
      <c r="B430" s="5" t="s">
        <v>889</v>
      </c>
    </row>
    <row r="431" spans="1:2" x14ac:dyDescent="0.25">
      <c r="A431" s="5" t="s">
        <v>890</v>
      </c>
      <c r="B431" s="5" t="s">
        <v>891</v>
      </c>
    </row>
    <row r="432" spans="1:2" x14ac:dyDescent="0.25">
      <c r="A432" s="5" t="s">
        <v>892</v>
      </c>
      <c r="B432" s="5" t="s">
        <v>893</v>
      </c>
    </row>
    <row r="433" spans="1:2" x14ac:dyDescent="0.25">
      <c r="A433" s="5" t="s">
        <v>894</v>
      </c>
      <c r="B433" s="5" t="s">
        <v>894</v>
      </c>
    </row>
    <row r="434" spans="1:2" x14ac:dyDescent="0.25">
      <c r="A434" s="5" t="s">
        <v>895</v>
      </c>
      <c r="B434" s="5" t="s">
        <v>895</v>
      </c>
    </row>
    <row r="435" spans="1:2" x14ac:dyDescent="0.25">
      <c r="A435" s="5" t="s">
        <v>896</v>
      </c>
      <c r="B435" s="5" t="s">
        <v>897</v>
      </c>
    </row>
    <row r="436" spans="1:2" x14ac:dyDescent="0.25">
      <c r="A436" s="5" t="s">
        <v>898</v>
      </c>
      <c r="B436" s="5" t="s">
        <v>899</v>
      </c>
    </row>
    <row r="437" spans="1:2" x14ac:dyDescent="0.25">
      <c r="A437" s="5" t="s">
        <v>900</v>
      </c>
      <c r="B437" s="5" t="s">
        <v>901</v>
      </c>
    </row>
    <row r="438" spans="1:2" x14ac:dyDescent="0.25">
      <c r="A438" s="5" t="s">
        <v>902</v>
      </c>
      <c r="B438" s="5" t="s">
        <v>903</v>
      </c>
    </row>
    <row r="439" spans="1:2" x14ac:dyDescent="0.25">
      <c r="A439" s="5" t="s">
        <v>904</v>
      </c>
      <c r="B439" s="5" t="s">
        <v>905</v>
      </c>
    </row>
    <row r="440" spans="1:2" x14ac:dyDescent="0.25">
      <c r="A440" s="5" t="s">
        <v>906</v>
      </c>
      <c r="B440" s="5" t="s">
        <v>907</v>
      </c>
    </row>
    <row r="441" spans="1:2" x14ac:dyDescent="0.25">
      <c r="A441" s="5" t="s">
        <v>908</v>
      </c>
      <c r="B441" s="5" t="s">
        <v>909</v>
      </c>
    </row>
    <row r="442" spans="1:2" x14ac:dyDescent="0.25">
      <c r="A442" s="5" t="s">
        <v>910</v>
      </c>
      <c r="B442" s="5" t="s">
        <v>910</v>
      </c>
    </row>
    <row r="443" spans="1:2" x14ac:dyDescent="0.25">
      <c r="A443" s="5" t="s">
        <v>9</v>
      </c>
      <c r="B443" s="5" t="s">
        <v>911</v>
      </c>
    </row>
    <row r="444" spans="1:2" x14ac:dyDescent="0.25">
      <c r="A444" s="5" t="s">
        <v>912</v>
      </c>
      <c r="B444" s="5" t="s">
        <v>913</v>
      </c>
    </row>
    <row r="445" spans="1:2" x14ac:dyDescent="0.25">
      <c r="A445" s="5" t="s">
        <v>914</v>
      </c>
      <c r="B445" s="5" t="s">
        <v>915</v>
      </c>
    </row>
    <row r="446" spans="1:2" x14ac:dyDescent="0.25">
      <c r="A446" s="5" t="s">
        <v>916</v>
      </c>
      <c r="B446" s="5" t="s">
        <v>917</v>
      </c>
    </row>
    <row r="447" spans="1:2" x14ac:dyDescent="0.25">
      <c r="A447" s="5" t="s">
        <v>918</v>
      </c>
      <c r="B447" s="5" t="s">
        <v>919</v>
      </c>
    </row>
    <row r="448" spans="1:2" x14ac:dyDescent="0.25">
      <c r="A448" s="5" t="s">
        <v>48</v>
      </c>
      <c r="B448" s="5" t="s">
        <v>920</v>
      </c>
    </row>
    <row r="449" spans="1:2" x14ac:dyDescent="0.25">
      <c r="A449" s="5" t="s">
        <v>921</v>
      </c>
      <c r="B449" s="5" t="s">
        <v>922</v>
      </c>
    </row>
    <row r="450" spans="1:2" x14ac:dyDescent="0.25">
      <c r="A450" s="5" t="b">
        <v>1</v>
      </c>
      <c r="B450" s="5" t="s">
        <v>923</v>
      </c>
    </row>
    <row r="451" spans="1:2" x14ac:dyDescent="0.25">
      <c r="A451" s="5" t="s">
        <v>924</v>
      </c>
      <c r="B451" s="5" t="s">
        <v>925</v>
      </c>
    </row>
    <row r="452" spans="1:2" x14ac:dyDescent="0.25">
      <c r="A452" s="5" t="s">
        <v>926</v>
      </c>
      <c r="B452" s="5" t="s">
        <v>927</v>
      </c>
    </row>
    <row r="453" spans="1:2" x14ac:dyDescent="0.25">
      <c r="A453" s="5" t="s">
        <v>928</v>
      </c>
      <c r="B453" s="5" t="s">
        <v>929</v>
      </c>
    </row>
    <row r="454" spans="1:2" x14ac:dyDescent="0.25">
      <c r="A454" s="5" t="s">
        <v>930</v>
      </c>
      <c r="B454" s="5" t="s">
        <v>931</v>
      </c>
    </row>
    <row r="455" spans="1:2" x14ac:dyDescent="0.25">
      <c r="A455" s="5" t="s">
        <v>932</v>
      </c>
      <c r="B455" s="5" t="s">
        <v>932</v>
      </c>
    </row>
    <row r="456" spans="1:2" x14ac:dyDescent="0.25">
      <c r="A456" s="5" t="s">
        <v>933</v>
      </c>
      <c r="B456" s="5" t="s">
        <v>934</v>
      </c>
    </row>
    <row r="457" spans="1:2" x14ac:dyDescent="0.25">
      <c r="A457" s="5" t="s">
        <v>935</v>
      </c>
      <c r="B457" s="5" t="s">
        <v>936</v>
      </c>
    </row>
    <row r="458" spans="1:2" x14ac:dyDescent="0.25">
      <c r="A458" s="5" t="s">
        <v>937</v>
      </c>
      <c r="B458" s="5" t="s">
        <v>938</v>
      </c>
    </row>
    <row r="459" spans="1:2" x14ac:dyDescent="0.25">
      <c r="A459" s="5" t="s">
        <v>939</v>
      </c>
      <c r="B459" s="5" t="s">
        <v>940</v>
      </c>
    </row>
    <row r="460" spans="1:2" x14ac:dyDescent="0.25">
      <c r="A460" s="5" t="s">
        <v>941</v>
      </c>
      <c r="B460" s="5" t="s">
        <v>942</v>
      </c>
    </row>
    <row r="461" spans="1:2" x14ac:dyDescent="0.25">
      <c r="A461" s="5" t="s">
        <v>943</v>
      </c>
      <c r="B461" s="5" t="s">
        <v>944</v>
      </c>
    </row>
    <row r="462" spans="1:2" x14ac:dyDescent="0.25">
      <c r="A462" s="5" t="s">
        <v>945</v>
      </c>
      <c r="B462" s="5" t="s">
        <v>946</v>
      </c>
    </row>
    <row r="463" spans="1:2" x14ac:dyDescent="0.25">
      <c r="A463" s="5" t="s">
        <v>947</v>
      </c>
      <c r="B463" s="5" t="s">
        <v>948</v>
      </c>
    </row>
    <row r="464" spans="1:2" x14ac:dyDescent="0.25">
      <c r="A464" s="5" t="s">
        <v>949</v>
      </c>
      <c r="B464" s="5" t="s">
        <v>950</v>
      </c>
    </row>
    <row r="465" spans="1:2" x14ac:dyDescent="0.25">
      <c r="A465" s="5" t="s">
        <v>951</v>
      </c>
      <c r="B465" s="5" t="s">
        <v>952</v>
      </c>
    </row>
    <row r="466" spans="1:2" x14ac:dyDescent="0.25">
      <c r="A466" s="5" t="s">
        <v>953</v>
      </c>
      <c r="B466" s="5" t="s">
        <v>954</v>
      </c>
    </row>
    <row r="467" spans="1:2" x14ac:dyDescent="0.25">
      <c r="A467" s="5" t="s">
        <v>955</v>
      </c>
      <c r="B467" s="5" t="s">
        <v>956</v>
      </c>
    </row>
    <row r="468" spans="1:2" x14ac:dyDescent="0.25">
      <c r="A468" s="5" t="s">
        <v>957</v>
      </c>
      <c r="B468" s="5" t="s">
        <v>958</v>
      </c>
    </row>
    <row r="469" spans="1:2" x14ac:dyDescent="0.25">
      <c r="A469" s="5" t="s">
        <v>959</v>
      </c>
      <c r="B469" s="5" t="s">
        <v>960</v>
      </c>
    </row>
    <row r="470" spans="1:2" x14ac:dyDescent="0.25">
      <c r="A470" s="5" t="s">
        <v>961</v>
      </c>
      <c r="B470" s="5" t="s">
        <v>962</v>
      </c>
    </row>
    <row r="471" spans="1:2" x14ac:dyDescent="0.25">
      <c r="A471" s="5" t="s">
        <v>963</v>
      </c>
      <c r="B471" s="5" t="s">
        <v>964</v>
      </c>
    </row>
    <row r="472" spans="1:2" x14ac:dyDescent="0.25">
      <c r="A472" s="5" t="s">
        <v>965</v>
      </c>
      <c r="B472" s="5" t="s">
        <v>966</v>
      </c>
    </row>
    <row r="473" spans="1:2" x14ac:dyDescent="0.25">
      <c r="A473" s="5" t="s">
        <v>967</v>
      </c>
      <c r="B473" s="5" t="s">
        <v>968</v>
      </c>
    </row>
    <row r="474" spans="1:2" x14ac:dyDescent="0.25">
      <c r="A474" s="5" t="s">
        <v>969</v>
      </c>
      <c r="B474" s="5" t="s">
        <v>970</v>
      </c>
    </row>
    <row r="475" spans="1:2" x14ac:dyDescent="0.25">
      <c r="A475" s="5" t="s">
        <v>971</v>
      </c>
      <c r="B475" s="5" t="s">
        <v>972</v>
      </c>
    </row>
    <row r="476" spans="1:2" x14ac:dyDescent="0.25">
      <c r="A476" s="5" t="s">
        <v>973</v>
      </c>
      <c r="B476" s="5" t="s">
        <v>974</v>
      </c>
    </row>
    <row r="477" spans="1:2" x14ac:dyDescent="0.25">
      <c r="A477" s="5" t="s">
        <v>975</v>
      </c>
      <c r="B477" s="5" t="s">
        <v>976</v>
      </c>
    </row>
    <row r="478" spans="1:2" x14ac:dyDescent="0.25">
      <c r="A478" s="5" t="s">
        <v>977</v>
      </c>
      <c r="B478" s="5" t="s">
        <v>978</v>
      </c>
    </row>
    <row r="479" spans="1:2" x14ac:dyDescent="0.25">
      <c r="A479" s="5" t="s">
        <v>979</v>
      </c>
      <c r="B479" s="5" t="s">
        <v>980</v>
      </c>
    </row>
    <row r="480" spans="1:2" x14ac:dyDescent="0.25">
      <c r="A480" s="5" t="s">
        <v>981</v>
      </c>
      <c r="B480" s="5" t="s">
        <v>982</v>
      </c>
    </row>
    <row r="481" spans="1:2" x14ac:dyDescent="0.25">
      <c r="A481" s="5" t="s">
        <v>983</v>
      </c>
      <c r="B481" s="5" t="s">
        <v>984</v>
      </c>
    </row>
    <row r="482" spans="1:2" x14ac:dyDescent="0.25">
      <c r="A482" s="5" t="s">
        <v>985</v>
      </c>
      <c r="B482" s="5" t="s">
        <v>986</v>
      </c>
    </row>
    <row r="483" spans="1:2" x14ac:dyDescent="0.25">
      <c r="A483" s="5" t="s">
        <v>987</v>
      </c>
      <c r="B483" s="5" t="s">
        <v>988</v>
      </c>
    </row>
    <row r="484" spans="1:2" x14ac:dyDescent="0.25">
      <c r="A484" s="5" t="s">
        <v>989</v>
      </c>
      <c r="B484" s="5" t="s">
        <v>990</v>
      </c>
    </row>
    <row r="485" spans="1:2" x14ac:dyDescent="0.25">
      <c r="A485" s="5" t="s">
        <v>991</v>
      </c>
      <c r="B485" s="5" t="s">
        <v>992</v>
      </c>
    </row>
    <row r="486" spans="1:2" x14ac:dyDescent="0.25">
      <c r="A486" s="5" t="s">
        <v>993</v>
      </c>
      <c r="B486" s="5" t="s">
        <v>994</v>
      </c>
    </row>
    <row r="487" spans="1:2" x14ac:dyDescent="0.25">
      <c r="A487" s="5" t="s">
        <v>995</v>
      </c>
      <c r="B487" s="5" t="s">
        <v>996</v>
      </c>
    </row>
    <row r="488" spans="1:2" x14ac:dyDescent="0.25">
      <c r="A488" s="5" t="s">
        <v>997</v>
      </c>
      <c r="B488" s="5" t="s">
        <v>998</v>
      </c>
    </row>
    <row r="489" spans="1:2" x14ac:dyDescent="0.25">
      <c r="A489" s="5" t="s">
        <v>999</v>
      </c>
      <c r="B489" s="5" t="s">
        <v>1000</v>
      </c>
    </row>
    <row r="490" spans="1:2" x14ac:dyDescent="0.25">
      <c r="A490" s="5" t="s">
        <v>1001</v>
      </c>
      <c r="B490" s="5" t="s">
        <v>1002</v>
      </c>
    </row>
    <row r="491" spans="1:2" x14ac:dyDescent="0.25">
      <c r="A491" s="5" t="s">
        <v>1003</v>
      </c>
      <c r="B491" s="5" t="s">
        <v>1004</v>
      </c>
    </row>
    <row r="492" spans="1:2" x14ac:dyDescent="0.25">
      <c r="A492" s="5" t="s">
        <v>1005</v>
      </c>
      <c r="B492" s="5" t="s">
        <v>1006</v>
      </c>
    </row>
    <row r="493" spans="1:2" x14ac:dyDescent="0.25">
      <c r="A493" s="5" t="s">
        <v>1007</v>
      </c>
      <c r="B493" s="5" t="s">
        <v>1008</v>
      </c>
    </row>
    <row r="494" spans="1:2" x14ac:dyDescent="0.25">
      <c r="A494" s="5" t="s">
        <v>1009</v>
      </c>
      <c r="B494" s="5" t="s">
        <v>1010</v>
      </c>
    </row>
    <row r="495" spans="1:2" x14ac:dyDescent="0.25">
      <c r="A495" s="5" t="s">
        <v>1011</v>
      </c>
      <c r="B495" s="5" t="s">
        <v>1012</v>
      </c>
    </row>
    <row r="496" spans="1:2" x14ac:dyDescent="0.25">
      <c r="A496" s="5" t="s">
        <v>1013</v>
      </c>
      <c r="B496" s="5" t="s">
        <v>1014</v>
      </c>
    </row>
    <row r="497" spans="1:2" x14ac:dyDescent="0.25">
      <c r="A497" s="5" t="s">
        <v>1015</v>
      </c>
      <c r="B497" s="5" t="s">
        <v>1016</v>
      </c>
    </row>
    <row r="498" spans="1:2" x14ac:dyDescent="0.25">
      <c r="A498" s="5" t="s">
        <v>1017</v>
      </c>
      <c r="B498" s="5" t="s">
        <v>1018</v>
      </c>
    </row>
    <row r="499" spans="1:2" x14ac:dyDescent="0.25">
      <c r="A499" s="5" t="s">
        <v>1019</v>
      </c>
      <c r="B499" s="5" t="s">
        <v>1020</v>
      </c>
    </row>
    <row r="500" spans="1:2" x14ac:dyDescent="0.25">
      <c r="A500" s="5" t="s">
        <v>1021</v>
      </c>
      <c r="B500" s="5" t="s">
        <v>1022</v>
      </c>
    </row>
    <row r="501" spans="1:2" x14ac:dyDescent="0.25">
      <c r="A501" s="5" t="s">
        <v>1023</v>
      </c>
      <c r="B501" s="5" t="s">
        <v>1024</v>
      </c>
    </row>
    <row r="502" spans="1:2" x14ac:dyDescent="0.25">
      <c r="A502" s="5" t="s">
        <v>1025</v>
      </c>
      <c r="B502" s="5" t="s">
        <v>1026</v>
      </c>
    </row>
    <row r="503" spans="1:2" x14ac:dyDescent="0.25">
      <c r="A503" s="5" t="s">
        <v>1027</v>
      </c>
      <c r="B503" s="5" t="s">
        <v>1028</v>
      </c>
    </row>
    <row r="504" spans="1:2" x14ac:dyDescent="0.25">
      <c r="A504" s="5" t="s">
        <v>1029</v>
      </c>
      <c r="B504" s="5" t="s">
        <v>1030</v>
      </c>
    </row>
    <row r="505" spans="1:2" x14ac:dyDescent="0.25">
      <c r="A505" s="5" t="s">
        <v>47</v>
      </c>
      <c r="B505" s="5" t="s">
        <v>1031</v>
      </c>
    </row>
    <row r="506" spans="1:2" x14ac:dyDescent="0.25">
      <c r="A506" s="5" t="s">
        <v>1032</v>
      </c>
      <c r="B506" s="5" t="s">
        <v>1033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5649-5E21-4D87-B853-9DA37D8CB26E}">
  <sheetPr codeName="Tabelle7"/>
  <dimension ref="A1:J17"/>
  <sheetViews>
    <sheetView workbookViewId="0">
      <selection activeCell="J1" sqref="J1"/>
    </sheetView>
  </sheetViews>
  <sheetFormatPr baseColWidth="10" defaultRowHeight="15" x14ac:dyDescent="0.25"/>
  <cols>
    <col min="4" max="4" width="77.42578125" customWidth="1"/>
  </cols>
  <sheetData>
    <row r="1" spans="1:10" x14ac:dyDescent="0.25">
      <c r="A1">
        <v>15</v>
      </c>
      <c r="B1">
        <v>2</v>
      </c>
      <c r="C1">
        <v>9</v>
      </c>
      <c r="D1">
        <v>6</v>
      </c>
      <c r="E1">
        <v>9</v>
      </c>
      <c r="F1">
        <v>9</v>
      </c>
      <c r="G1">
        <v>11</v>
      </c>
      <c r="H1">
        <v>8</v>
      </c>
      <c r="I1">
        <v>5</v>
      </c>
      <c r="J1">
        <v>11</v>
      </c>
    </row>
    <row r="3" spans="1:10" x14ac:dyDescent="0.25">
      <c r="A3" cm="1">
        <f t="array" ref="A3">SUMPRODUCT((A1:J1&gt;10)*A1:J1)</f>
        <v>37</v>
      </c>
    </row>
    <row r="4" spans="1:10" x14ac:dyDescent="0.25">
      <c r="A4" cm="1">
        <f t="array" ref="A4">SUMPRODUCT(1/COUNTIF(A1:J1,A1:J1))</f>
        <v>7</v>
      </c>
    </row>
    <row r="9" spans="1:10" ht="409.5" x14ac:dyDescent="0.25">
      <c r="A9" s="6" t="s">
        <v>1104</v>
      </c>
      <c r="B9" s="16" t="s">
        <v>1151</v>
      </c>
      <c r="C9" s="6" t="s">
        <v>1105</v>
      </c>
      <c r="D9" s="11" t="s">
        <v>1106</v>
      </c>
    </row>
    <row r="17" spans="4:4" x14ac:dyDescent="0.25">
      <c r="D17" s="4" t="s">
        <v>1150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3DF2-7348-434E-89FE-E917D85D177C}">
  <sheetPr codeName="Tabelle8"/>
  <dimension ref="A1:D5"/>
  <sheetViews>
    <sheetView workbookViewId="0">
      <selection activeCell="B4" sqref="B4"/>
    </sheetView>
  </sheetViews>
  <sheetFormatPr baseColWidth="10" defaultRowHeight="15" x14ac:dyDescent="0.25"/>
  <cols>
    <col min="1" max="1" width="23.140625" bestFit="1" customWidth="1"/>
    <col min="2" max="2" width="7.28515625" bestFit="1" customWidth="1"/>
    <col min="3" max="3" width="75.5703125" bestFit="1" customWidth="1"/>
    <col min="4" max="4" width="12" bestFit="1" customWidth="1"/>
  </cols>
  <sheetData>
    <row r="1" spans="1:4" x14ac:dyDescent="0.25">
      <c r="A1" s="6" t="s">
        <v>66</v>
      </c>
      <c r="B1" s="6" t="s">
        <v>67</v>
      </c>
      <c r="C1" s="6" t="s">
        <v>68</v>
      </c>
      <c r="D1" s="6" t="s">
        <v>1085</v>
      </c>
    </row>
    <row r="2" spans="1:4" x14ac:dyDescent="0.25">
      <c r="A2" s="6" t="s">
        <v>69</v>
      </c>
      <c r="B2" s="7" t="e" cm="1" vm="1">
        <f t="array" aca="1" ref="B2" ca="1">_xlfn.LAMBDA(_xlpm.Start,_xlpm.RichtungHo1_Ru2_Li3_Re4,_xlpm.Matrix,_xlop.Anzahl,_xlop.mitStart,_xlop.Matrix0_Sum1_Mitt2_Min3_Max4, _xlfn.LET(_xlpm.Richtung, _xlpm.RichtungHo1_Ru2_Li3_Re4, _xlpm.MSM, _xlfn.IFS(_xlfn.ISOMITTED(_xlpm.Matrix0_Sum1_Mitt2_Min3_Max4), 0, AND(_xlpm.Matrix0_Sum1_Mitt2_Min3_Max4 &gt; 0, _xlpm.Matrix0_Sum1_Mitt2_Min3_Max4 &lt; 5), _xlpm.Matrix0_Sum1_Mitt2_Min3_Max4, TRUE, 0), _xlpm.Str, INDIRECT(_xlpm.Start), _xlpm.StrZ, ROW(_xlpm.Str), _xlpm.StrS, COLUMN(_xlpm.Str), _xlpm.MinZ, MIN(ROW(_xlpm.Matrix)), _xlpm.MaxZ, MAX(ROW(_xlpm.Matrix)), _xlpm.MinS, MIN(COLUMN(_xlpm.Matrix)), _xlpm.MaxS, MAX(COLUMN(_xlpm.Matrix)), _xlpm.AnzRaw, IF(_xlfn.ISOMITTED(_xlpm.Anzahl), 0, _xlpm.Anzahl), _xlpm.Skip, IF(_xlfn.ISOMITTED(_xlpm.mitStart), 0, _xlpm.mitStart), _xlpm.MaxInc, _xlfn.IFS(_xlpm.Richtung = 1, _xlpm.StrZ - _xlpm.MinZ, _xlpm.Richtung = 2, _xlpm.MaxZ - _xlpm.StrZ, _xlpm.Richtung = 3, _xlpm.StrS - _xlpm.MinS, _xlpm.Richtung = 4, _xlpm.MaxS - _xlpm.StrS, TRUE, 0), _xlpm.MaxNoStart, MAX(_xlpm.MaxInc - 1, 0), _xlpm.MaxEff, IF(_xlpm.Skip = 0, _xlpm.MaxInc, _xlpm.MaxNoStart), _xlpm.Eff, IF(_xlpm.AnzRaw = 0, _xlpm.MaxEff, MIN(_xlpm.AnzRaw, _xlpm.MaxEff)), _xlpm.TopZ, _xlfn.IFS(_xlpm.Richtung = 1, _xlpm.StrZ - _xlpm.Skip - _xlpm.Eff, _xlpm.Richtung = 2, _xlpm.StrZ + _xlpm.Skip, TRUE, _xlpm.StrZ), _xlpm.BotZ, _xlfn.IFS(_xlpm.Richtung = 1, _xlpm.StrZ - _xlpm.Skip, _xlpm.Richtung = 2, _xlpm.StrZ + _xlpm.Skip + _xlpm.Eff, TRUE, _xlpm.StrZ), _xlpm.LeftS, _xlfn.IFS(_xlpm.Richtung = 3, _xlpm.StrS - _xlpm.Skip - _xlpm.Eff, _xlpm.Richtung = 4, _xlpm.StrS + _xlpm.Skip, TRUE, _xlpm.StrS), _xlpm.RightS, _xlfn.IFS(_xlpm.Richtung = 3, _xlpm.StrS - _xlpm.Skip, _xlpm.Richtung = 4, _xlpm.StrS + _xlpm.Skip + _xlpm.Eff, TRUE, _xlpm.StrS), _xlpm.Höhe, _xlpm.BotZ - _xlpm.TopZ + 1, _xlpm.Breite, _xlpm.RightS - _xlpm.LeftS + 1, _xlpm.OffsetV, _xlpm.TopZ - _xlpm.StrZ, _xlpm.OffsetH, _xlpm.LeftS - _xlpm.StrS, _xlpm.Bereich, OFFSET(_xlpm.Str, _xlpm.OffsetV, _xlpm.OffsetH, _xlpm.Höhe, _xlpm.Breite), _xlfn.IFS(_xlpm.MSM = 0, _xlpm.Bereich, _xlpm.MSM = 1, SUM(_xlpm.Bereich), _xlpm.MSM = 2, AVERAGE(_xlpm.Bereich), _xlpm.MSM = 3, MIN(_xlpm.Bereich), _xlpm.MSM = 4, MAX(_xlpm.Bereich))))</f>
        <v>#VALUE!</v>
      </c>
      <c r="C2" s="6" t="s">
        <v>71</v>
      </c>
    </row>
    <row r="3" spans="1:4" x14ac:dyDescent="0.25">
      <c r="A3" s="6" t="s">
        <v>96</v>
      </c>
      <c r="B3" s="9" t="e" cm="1" vm="1">
        <f t="array" aca="1" ref="B3" ca="1">_xlfn.LAMBDA(_xlpm.Figur,_xlpm.Spielfeld,_xlpm.Farbe,_xlpm.Startfeld,
    _xlfn.LET(
        _xlpm.feld, INDIRECT(_xlpm.Startfeld),
        _xlpm.z0, ROW(_xlpm.feld),
        _xlpm.s0, COLUMN(_xlpm.feld),
        _xlpm.vK, _xlfn.HSTACK({-1;-1;-1;0;0;1;1;1}, {0;-1;1;-1;1;-1;0;1}),
        _xlpm.vT, _xlfn.HSTACK({-1;1;0;0}, {0;0;-1;1}),
        _xlpm.vL, _xlfn.HSTACK({-1;-1;1;1}, {-1;1;-1;1}),
        _xlpm.vS, _xlfn.HSTACK({2;2;-2;-2;1;1;-1;-1}, {1;-1;1;-1;2;-2;2;-2}),
        _xlpm.vB, IF(_xlpm.Farbe="W", _xlfn.HSTACK({-1;-1;-1}, {0;-1;1}), _xlfn.HSTACK({1;1;1}, {0;-1;1})),
        _xlpm.vD, _xlfn.VSTACK(_xlpm.vK, _xlpm.vT, _xlpm.vL),
        _xlpm.v, CHOOSE(MATCH(_xlpm.Figur, {"K","D","T","L","S","B"}, 0), _xlpm.vK, _xlpm.vD, _xlpm.vT, _xlpm.vL, _xlpm.vS, _xlpm.vB),
        _xlpm.zZiel, _xlpm.z0 + INDEX(_xlpm.v,,1),
        _xlpm.sZiel, _xlpm.s0 + INDEX(_xlpm.v,,2),
        _xlpm.maxZ, ROWS(_xlpm.Spielfeld),
        _xlpm.maxS, COLUMNS(_xlpm.Spielfeld),
        _xlpm.gueltig, (_xlpm.zZiel&gt;=1)*(_xlpm.zZiel&lt;=_xlpm.maxZ)*(_xlpm.sZiel&gt;=1)*(_xlpm.sZiel&lt;=_xlpm.maxS),
        _xlfn._xlws.FILTER(ADDRESS(_xlpm.zZiel, _xlpm.sZiel, 4), _xlpm.gueltig)
    )
)</f>
        <v>#VALUE!</v>
      </c>
    </row>
    <row r="4" spans="1:4" x14ac:dyDescent="0.25">
      <c r="A4" s="6" t="s">
        <v>59</v>
      </c>
      <c r="B4" s="6" t="e" cm="1" vm="1">
        <f t="array" ref="B4">_xlfn.LAMBDA(_xlpm.Text,_xlpm.Wert,_xlpm.MatrixText,_xlop.MatrixMin,_xlop.MatrixMax,_xlop.GröKleGlei0_GröKle1,_xlop.WahrWert,_xlop.FalschWert,
_xlfn.LET(
_xlpm.WW,IF(_xlfn.ISOMITTED(_xlpm.WahrWert),TRUE,_xlpm.WahrWert),
_xlpm.FW,IF(_xlfn.ISOMITTED(_xlpm.FalschWert),FALSE,_xlpm.FalschWert),
_xlpm.MMin,IF(_xlfn.ISOMITTED(_xlpm.MatrixMin),_xlpm.Wert,_xlpm.MatrixMin),
_xlpm.MMax,IF(_xlfn.ISOMITTED(_xlpm.MatrixMax),_xlpm.Wert,_xlpm.MatrixMax),
_xlpm.GKG,_xlfn.IFS(_xlfn.ISOMITTED(_xlpm.GröKleGlei0_GröKle1),0,_xlpm.GröKleGlei0_GröKle1=1,1,TRUE,0),
_xlpm.XverMin,_xlfn.XLOOKUP(_xlpm.Text,_xlpm.MatrixText,_xlpm.MatrixMin),
_xlpm.XverMax,_xlfn.XLOOKUP(_xlpm.Text,_xlpm.MatrixText,_xlpm.MatrixMax),
_xlfn.IFS(
_xlpm.GKG=0,IF(AND(_xlpm.XverMin&lt;=_xlpm.Wert,_xlpm.XverMax&gt;=_xlpm.Wert),_xlpm.WW,_xlpm.FW),
_xlpm.GKG=1,IF(AND(_xlpm.XverMin&lt;_xlpm.Wert,_xlpm.XverMax&gt;_xlpm.Wert),_xlpm.WW,_xlpm.FW))))</f>
        <v>#VALUE!</v>
      </c>
      <c r="C4" s="6" t="s">
        <v>63</v>
      </c>
    </row>
    <row r="5" spans="1:4" x14ac:dyDescent="0.25">
      <c r="A5" s="6" t="s">
        <v>80</v>
      </c>
      <c r="B5" s="6" t="e" cm="1" vm="1">
        <f t="array" ref="B5">_xlfn.LAMBDA(_xlpm.Bereich,_xlpm.Spalten,_xlop.Zeilen,_xlop.Richtung_H0_V1,
    _xlfn.LET(
        _xlpm.vec, _xlpm.Bereich,
        _xlpm.n, COUNTA(_xlpm.vec) + COUNTBLANK(_xlpm.vec),
        IF(
            _xlpm.n = 0,
            "",
            _xlfn.LET(
                _xlpm.sp, IF(_xlfn.ISOMITTED(_xlpm.Spalten), _xlpm.n, MAX(1, _xlpm.Spalten)),
                _xlpm.ze, IF(_xlfn.ISOMITTED(_xlpm.Zeilen), _xlpm.n, MAX(1, _xlpm.Zeilen)),
                _xlpm.richt, IF(_xlfn.ISOMITTED(_xlpm.Richtung_H0_V1), 0, _xlpm.Richtung_H0_V1),
                _xlpm.maxSp, IF(_xlpm.richt = 0, _xlpm.sp, _xlpm.ze),
                _xlpm.maxZe, IF(_xlpm.richt = 0, _xlpm.ze, _xlpm.sp),
                _xlpm.maxSp2, MAX(1, MIN(_xlpm.maxSp, _xlpm.n)),
                _xlpm.maxZe2, MAX(1, MIN(_xlpm.maxZe, ROUNDUP(_xlpm.n / _xlpm.maxSp2, 0))),
                _xlpm.idx, _xlfn.SEQUENCE(_xlpm.maxZe2, _xlpm.maxSp2, 1, 1),
                IF(_xlpm.idx &lt;= _xlpm.n, INDEX(_xlpm.vec, _xlpm.idx), "")
            )
        )
    )
)</f>
        <v>#VALUE!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AuACIALAAiAHQAaABvAHUAcwBhAG4AZABzAFMAZQBwAGEAcgBhAHQAbwByACIAOgAiAC4AIgAsACIAdABoAG8AdQBzAGEAbgBkAHMAUABvAHMAaQB0AGkAbwBuAHMAIgA6AFsAMwBdACwAIgBkAGUAYwBpAG0AYQBsAFMAZQBwAGEAcgBhAHQAbwByACIAOgAiACwAIgAsACIAZABhAHQAZQBPAHIAZABlAHIAIgA6ACIARABNAFkAIgAsACIAYwB1AHIAcgBlAG4AYwB5AFMAeQBtAGIAbwBsACIAOgAiAKwgIgAsACIAaQBzAEMAdQByAHIAZQBuAGMAeQBTAHkAbQBiAG8AbABMAGUAYQBkACIAOgBmAGEAbABzAGUALAAiAGkAcwBDAHUAcgByAGUAbgBjAHkAUwBlAHAAQgB5AFMAcABhAGMAZQAiADoAdAByAHUAZQAsACIAcgBvAHcATABlAHQAdABlAHIAIgA6ACIAWgAiACwAIgBjAG8AbAB1AG0AbgBMAGUAdAB0AGUAcgAiADoAIgBTACIALAAiAHIAYwBMAGUAZgB0AEIAcgBhAGMAawBlAHQAIgA6ACIAKAAiACwAIgByAGMAUgBpAGcAaAB0AEIAcgBhAGMAawBlAHQAIgA6ACIAKQAiACwAIgBzAHQAYQB0AGUAbQBlAG4AdABTAGUAcABhAHIAYQB0AG8AcgAiADoAIgA7ADsAIgAsACIAbABvAGMAYQBsAGUATgBhAG0AZQAiADoAIgBkAGUALQBkAGUAIgB9AH0A</AFEJSONBlob>
</file>

<file path=customXml/itemProps1.xml><?xml version="1.0" encoding="utf-8"?>
<ds:datastoreItem xmlns:ds="http://schemas.openxmlformats.org/officeDocument/2006/customXml" ds:itemID="{DCF295C1-BD3B-4175-8751-F924E88E484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Lambdas</vt:lpstr>
      <vt:lpstr>Vergessliche Formeln</vt:lpstr>
      <vt:lpstr>Symbole+Spielkarten</vt:lpstr>
      <vt:lpstr>RegEx</vt:lpstr>
      <vt:lpstr>DE-EN</vt:lpstr>
      <vt:lpstr>Experimente</vt:lpstr>
      <vt:lpstr>Inaktive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Bott</dc:creator>
  <cp:lastModifiedBy>Jens Bott</cp:lastModifiedBy>
  <dcterms:created xsi:type="dcterms:W3CDTF">2026-04-10T21:54:49Z</dcterms:created>
  <dcterms:modified xsi:type="dcterms:W3CDTF">2026-07-25T00:01:51Z</dcterms:modified>
</cp:coreProperties>
</file>